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 D\Estudos\EXCEL POWER BI\Excel-Avancado\"/>
    </mc:Choice>
  </mc:AlternateContent>
  <xr:revisionPtr revIDLastSave="0" documentId="13_ncr:1_{9441960F-830D-4FE5-8236-E2BF6A10CA8A}" xr6:coauthVersionLast="47" xr6:coauthVersionMax="47" xr10:uidLastSave="{00000000-0000-0000-0000-000000000000}"/>
  <bookViews>
    <workbookView xWindow="-120" yWindow="-120" windowWidth="29040" windowHeight="15840" activeTab="2" xr2:uid="{0322BD8E-D3E0-441F-A5C2-0334950B3236}"/>
  </bookViews>
  <sheets>
    <sheet name="Base de Dados" sheetId="1" r:id="rId1"/>
    <sheet name="Tabela Dinâmica" sheetId="2" r:id="rId2"/>
    <sheet name="Dashboard" sheetId="3" r:id="rId3"/>
  </sheets>
  <definedNames>
    <definedName name="SegmentaçãodeDados_Estado">#N/A</definedName>
    <definedName name="SegmentaçãodeDados_Gênero">#N/A</definedName>
  </definedNames>
  <calcPr calcId="191029"/>
  <pivotCaches>
    <pivotCache cacheId="9" r:id="rId4"/>
  </pivotCaches>
  <fileRecoveryPr repairLoad="1"/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I6" i="2"/>
  <c r="I5" i="2"/>
  <c r="I4" i="2"/>
  <c r="I3" i="2"/>
</calcChain>
</file>

<file path=xl/sharedStrings.xml><?xml version="1.0" encoding="utf-8"?>
<sst xmlns="http://schemas.openxmlformats.org/spreadsheetml/2006/main" count="218" uniqueCount="68">
  <si>
    <t>Código RH</t>
  </si>
  <si>
    <t>Nome</t>
  </si>
  <si>
    <t>Gênero</t>
  </si>
  <si>
    <t>Data de Nascimento</t>
  </si>
  <si>
    <t>Data de Contratação</t>
  </si>
  <si>
    <t>Estado</t>
  </si>
  <si>
    <t>Setor</t>
  </si>
  <si>
    <t>Cargo</t>
  </si>
  <si>
    <t>Salário</t>
  </si>
  <si>
    <t>Nota do Funcionário</t>
  </si>
  <si>
    <t>Amanda Dutra</t>
  </si>
  <si>
    <t>Mulher</t>
  </si>
  <si>
    <t>São Paulo</t>
  </si>
  <si>
    <t>Comercial</t>
  </si>
  <si>
    <t>Analista</t>
  </si>
  <si>
    <t>Alex Pereira</t>
  </si>
  <si>
    <t>Homem</t>
  </si>
  <si>
    <t>Goiás</t>
  </si>
  <si>
    <t>Financeiro</t>
  </si>
  <si>
    <t>Gerente</t>
  </si>
  <si>
    <t>Alek Siqueira</t>
  </si>
  <si>
    <t>Mato Grosso</t>
  </si>
  <si>
    <t>Logística</t>
  </si>
  <si>
    <t>Estagiário</t>
  </si>
  <si>
    <t>Afonso Valente</t>
  </si>
  <si>
    <t>Rio de Janeiro</t>
  </si>
  <si>
    <t>Administração</t>
  </si>
  <si>
    <t>Supervisor</t>
  </si>
  <si>
    <t>Bruna Nogueira</t>
  </si>
  <si>
    <t>Santa Catarina</t>
  </si>
  <si>
    <t>Diretor</t>
  </si>
  <si>
    <t>Beatriz Regina</t>
  </si>
  <si>
    <t>Barbara Jesus</t>
  </si>
  <si>
    <t>Carolina Silva</t>
  </si>
  <si>
    <t>Carlos Santos</t>
  </si>
  <si>
    <t>Cleber Lucas</t>
  </si>
  <si>
    <t>Diana Alencar</t>
  </si>
  <si>
    <t>Eduardo José</t>
  </si>
  <si>
    <t>Falcão Gomes</t>
  </si>
  <si>
    <t>Gabriel Dimitri</t>
  </si>
  <si>
    <t>Gabriela Silva</t>
  </si>
  <si>
    <t>Iago Moreira</t>
  </si>
  <si>
    <t>Joana Mendes</t>
  </si>
  <si>
    <t>Julia Jansen</t>
  </si>
  <si>
    <t>Matheus Aleixo</t>
  </si>
  <si>
    <t>Morgana Aquen</t>
  </si>
  <si>
    <t>Rodrigo Liberio</t>
  </si>
  <si>
    <t>Rafaela Silva</t>
  </si>
  <si>
    <t>Sandro Sorezio</t>
  </si>
  <si>
    <t>Taina Helena</t>
  </si>
  <si>
    <t>Tania Miranda</t>
  </si>
  <si>
    <t>Victor Pedro</t>
  </si>
  <si>
    <t>Vinicius Seixas</t>
  </si>
  <si>
    <t>Welliton Marques</t>
  </si>
  <si>
    <t>Wilson Cruz</t>
  </si>
  <si>
    <t>Zuleica Freitas</t>
  </si>
  <si>
    <t>Rótulos de Linha</t>
  </si>
  <si>
    <t>Total Geral</t>
  </si>
  <si>
    <t>Soma de Salário</t>
  </si>
  <si>
    <t>Contagem de Código RH</t>
  </si>
  <si>
    <t>total func</t>
  </si>
  <si>
    <t>maior salario</t>
  </si>
  <si>
    <t>menor salario</t>
  </si>
  <si>
    <t>media salarial</t>
  </si>
  <si>
    <t>gasto salarial total</t>
  </si>
  <si>
    <t>Nota Funcionário</t>
  </si>
  <si>
    <t>Salários</t>
  </si>
  <si>
    <t>Setores e Cargos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</si>
</sst>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4" fontId="2" fillId="0" borderId="1" xfId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</cellXfs>
  <cellStyles count="2">
    <cellStyle name="Moeda" xfId="1" builtinId="4"/>
    <cellStyle name="Normal" xfId="0" builtinId="0"/>
  </cellStyles>
  <dxfs count="2">
    <dxf>
      <font>
        <b/>
        <i val="0"/>
        <color theme="0"/>
      </font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4" tint="0.59996337778862885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duplicado" pivot="0" table="0" count="10" xr9:uid="{FD9CBECC-AA97-4EC6-B8D4-C02514BF98AC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patternFill patternType="solid">
              <fgColor auto="1"/>
              <bgColor theme="5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5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5" tint="0.599963377788628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5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5" tint="0.7999816888943144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duplicado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38 - Dashboard RH.Funcionários.xlsx]Tabela Dinâmica!Tabela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'Tabela Dinâmica'!$B$26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'Tabela Dinâmica'!$A$27:$A$29</c:f>
              <c:strCache>
                <c:ptCount val="2"/>
                <c:pt idx="0">
                  <c:v>Homem</c:v>
                </c:pt>
                <c:pt idx="1">
                  <c:v>Mulher</c:v>
                </c:pt>
              </c:strCache>
            </c:strRef>
          </c:cat>
          <c:val>
            <c:numRef>
              <c:f>'Tabela Dinâmica'!$B$27:$B$29</c:f>
              <c:numCache>
                <c:formatCode>0.00%</c:formatCode>
                <c:ptCount val="2"/>
                <c:pt idx="0">
                  <c:v>0.53333333333333333</c:v>
                </c:pt>
                <c:pt idx="1">
                  <c:v>0.46666666666666667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7-4773-B977-DA148C2E3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 38 - Dashboard RH.Funcionários.xlsx]Tabela Dinâmica!Tabela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bg1"/>
                </a:solidFill>
              </a:rPr>
              <a:t>Porcentagem de</a:t>
            </a:r>
            <a:r>
              <a:rPr lang="en-US" sz="1400" b="1" baseline="0">
                <a:solidFill>
                  <a:schemeClr val="bg1"/>
                </a:solidFill>
              </a:rPr>
              <a:t> Gênero</a:t>
            </a:r>
            <a:endParaRPr lang="en-US" sz="14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1.8586341628762385E-2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7.2134962187318213E-2"/>
              <c:y val="0.1111111111111110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6.9808027923211169E-2"/>
              <c:y val="9.25925925925925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'Tabela Dinâmica'!$B$26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F0-49E9-AEAB-89873FB2DBA8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F0-49E9-AEAB-89873FB2DBA8}"/>
              </c:ext>
            </c:extLst>
          </c:dPt>
          <c:dLbls>
            <c:dLbl>
              <c:idx val="0"/>
              <c:layout>
                <c:manualLayout>
                  <c:x val="7.2134962187318213E-2"/>
                  <c:y val="0.111111111111111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F0-49E9-AEAB-89873FB2DBA8}"/>
                </c:ext>
              </c:extLst>
            </c:dLbl>
            <c:dLbl>
              <c:idx val="1"/>
              <c:layout>
                <c:manualLayout>
                  <c:x val="-6.9808027923211169E-2"/>
                  <c:y val="9.25925925925925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F0-49E9-AEAB-89873FB2DB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'Tabela Dinâmica'!$A$27:$A$29</c:f>
              <c:strCache>
                <c:ptCount val="2"/>
                <c:pt idx="0">
                  <c:v>Homem</c:v>
                </c:pt>
                <c:pt idx="1">
                  <c:v>Mulher</c:v>
                </c:pt>
              </c:strCache>
            </c:strRef>
          </c:cat>
          <c:val>
            <c:numRef>
              <c:f>'Tabela Dinâmica'!$B$27:$B$29</c:f>
              <c:numCache>
                <c:formatCode>0.00%</c:formatCode>
                <c:ptCount val="2"/>
                <c:pt idx="0">
                  <c:v>0.53333333333333333</c:v>
                </c:pt>
                <c:pt idx="1">
                  <c:v>0.46666666666666667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F0-49E9-AEAB-89873FB2D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16</xdr:row>
      <xdr:rowOff>138112</xdr:rowOff>
    </xdr:from>
    <xdr:to>
      <xdr:col>11</xdr:col>
      <xdr:colOff>219075</xdr:colOff>
      <xdr:row>31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4EC4E0-0927-9A62-6210-7647EC757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295275</xdr:colOff>
      <xdr:row>8</xdr:row>
      <xdr:rowOff>2562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BEB3DE4-2246-AA7E-CA1A-A1AEF5D75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09850" cy="1526562"/>
        </a:xfrm>
        <a:prstGeom prst="rect">
          <a:avLst/>
        </a:prstGeom>
      </xdr:spPr>
    </xdr:pic>
    <xdr:clientData/>
  </xdr:twoCellAnchor>
  <xdr:twoCellAnchor>
    <xdr:from>
      <xdr:col>6</xdr:col>
      <xdr:colOff>276225</xdr:colOff>
      <xdr:row>14</xdr:row>
      <xdr:rowOff>180975</xdr:rowOff>
    </xdr:from>
    <xdr:to>
      <xdr:col>15</xdr:col>
      <xdr:colOff>247650</xdr:colOff>
      <xdr:row>29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1D467C5-C91E-4ED0-A321-83E2BD701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152400</xdr:colOff>
      <xdr:row>1</xdr:row>
      <xdr:rowOff>28576</xdr:rowOff>
    </xdr:from>
    <xdr:to>
      <xdr:col>7</xdr:col>
      <xdr:colOff>152400</xdr:colOff>
      <xdr:row>4</xdr:row>
      <xdr:rowOff>142876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Gênero">
              <a:extLst>
                <a:ext uri="{FF2B5EF4-FFF2-40B4-BE49-F238E27FC236}">
                  <a16:creationId xmlns:a16="http://schemas.microsoft.com/office/drawing/2014/main" id="{71C39DD7-7E29-43AA-633D-F549FBAA53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êner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2825" y="219076"/>
              <a:ext cx="1828800" cy="685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342899</xdr:colOff>
      <xdr:row>1</xdr:row>
      <xdr:rowOff>38101</xdr:rowOff>
    </xdr:from>
    <xdr:to>
      <xdr:col>16</xdr:col>
      <xdr:colOff>200024</xdr:colOff>
      <xdr:row>4</xdr:row>
      <xdr:rowOff>152401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stado">
              <a:extLst>
                <a:ext uri="{FF2B5EF4-FFF2-40B4-BE49-F238E27FC236}">
                  <a16:creationId xmlns:a16="http://schemas.microsoft.com/office/drawing/2014/main" id="{B467BA62-DCD0-9277-7AEA-E021639602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2124" y="228601"/>
              <a:ext cx="5343525" cy="685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504825</xdr:colOff>
      <xdr:row>5</xdr:row>
      <xdr:rowOff>161925</xdr:rowOff>
    </xdr:from>
    <xdr:to>
      <xdr:col>8</xdr:col>
      <xdr:colOff>104775</xdr:colOff>
      <xdr:row>9</xdr:row>
      <xdr:rowOff>47625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787ECCEA-4497-0BF5-5B0B-0E5FF65002D9}"/>
            </a:ext>
          </a:extLst>
        </xdr:cNvPr>
        <xdr:cNvGrpSpPr/>
      </xdr:nvGrpSpPr>
      <xdr:grpSpPr>
        <a:xfrm>
          <a:off x="3905250" y="1114425"/>
          <a:ext cx="2038350" cy="647700"/>
          <a:chOff x="4048125" y="1114425"/>
          <a:chExt cx="2038350" cy="64770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45FFE182-7B13-E995-D21C-B61508F9011C}"/>
              </a:ext>
            </a:extLst>
          </xdr:cNvPr>
          <xdr:cNvSpPr/>
        </xdr:nvSpPr>
        <xdr:spPr>
          <a:xfrm>
            <a:off x="4048125" y="1114425"/>
            <a:ext cx="1990725" cy="647700"/>
          </a:xfrm>
          <a:prstGeom prst="roundRect">
            <a:avLst/>
          </a:prstGeom>
          <a:solidFill>
            <a:schemeClr val="accent2">
              <a:lumMod val="40000"/>
              <a:lumOff val="60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'Tabela Dinâmica'!I3">
        <xdr:nvSpPr>
          <xdr:cNvPr id="12" name="CaixaDeTexto 11">
            <a:extLst>
              <a:ext uri="{FF2B5EF4-FFF2-40B4-BE49-F238E27FC236}">
                <a16:creationId xmlns:a16="http://schemas.microsoft.com/office/drawing/2014/main" id="{59EB1FB0-ECA8-F7B3-E9CE-DBD6B567C861}"/>
              </a:ext>
            </a:extLst>
          </xdr:cNvPr>
          <xdr:cNvSpPr txBox="1"/>
        </xdr:nvSpPr>
        <xdr:spPr>
          <a:xfrm>
            <a:off x="4600575" y="1362075"/>
            <a:ext cx="838200" cy="371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401E7AD1-D201-4C94-B64E-748C4B74C24B}" type="TxLink">
              <a:rPr lang="en-US" sz="1800" b="1" i="0" u="none" strike="noStrike">
                <a:solidFill>
                  <a:schemeClr val="tx1">
                    <a:lumMod val="85000"/>
                    <a:lumOff val="15000"/>
                  </a:schemeClr>
                </a:solidFill>
                <a:latin typeface="Calibri"/>
                <a:cs typeface="Calibri"/>
              </a:rPr>
              <a:pPr algn="ctr"/>
              <a:t>30</a:t>
            </a:fld>
            <a:endParaRPr lang="pt-BR" sz="1800" b="1">
              <a:solidFill>
                <a:schemeClr val="tx1">
                  <a:lumMod val="85000"/>
                  <a:lumOff val="15000"/>
                </a:schemeClr>
              </a:solidFill>
            </a:endParaRPr>
          </a:p>
        </xdr:txBody>
      </xdr:sp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1F8F9EF7-EF9D-EE8B-BD68-CE0798E6571D}"/>
              </a:ext>
            </a:extLst>
          </xdr:cNvPr>
          <xdr:cNvSpPr txBox="1"/>
        </xdr:nvSpPr>
        <xdr:spPr>
          <a:xfrm>
            <a:off x="4067175" y="1200150"/>
            <a:ext cx="2019300" cy="219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pt-BR" sz="1200" b="0" i="0" u="none" strike="noStrike">
                <a:solidFill>
                  <a:schemeClr val="tx1">
                    <a:lumMod val="85000"/>
                    <a:lumOff val="15000"/>
                  </a:schemeClr>
                </a:solidFill>
                <a:latin typeface="Calibri"/>
                <a:ea typeface="+mn-ea"/>
                <a:cs typeface="Calibri"/>
              </a:rPr>
              <a:t>Total de Funcionários</a:t>
            </a:r>
          </a:p>
        </xdr:txBody>
      </xdr:sp>
    </xdr:grpSp>
    <xdr:clientData/>
  </xdr:twoCellAnchor>
  <xdr:twoCellAnchor>
    <xdr:from>
      <xdr:col>8</xdr:col>
      <xdr:colOff>485775</xdr:colOff>
      <xdr:row>5</xdr:row>
      <xdr:rowOff>161925</xdr:rowOff>
    </xdr:from>
    <xdr:to>
      <xdr:col>12</xdr:col>
      <xdr:colOff>95250</xdr:colOff>
      <xdr:row>9</xdr:row>
      <xdr:rowOff>47625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BEE56C2C-74AF-4DEC-A095-C055B437275D}"/>
            </a:ext>
          </a:extLst>
        </xdr:cNvPr>
        <xdr:cNvGrpSpPr/>
      </xdr:nvGrpSpPr>
      <xdr:grpSpPr>
        <a:xfrm>
          <a:off x="6324600" y="1114425"/>
          <a:ext cx="2047875" cy="647700"/>
          <a:chOff x="4038600" y="1114425"/>
          <a:chExt cx="2047875" cy="647700"/>
        </a:xfrm>
      </xdr:grpSpPr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940E6C7E-1528-4DA7-5AA7-645AB3AB259F}"/>
              </a:ext>
            </a:extLst>
          </xdr:cNvPr>
          <xdr:cNvSpPr/>
        </xdr:nvSpPr>
        <xdr:spPr>
          <a:xfrm>
            <a:off x="4048125" y="1114425"/>
            <a:ext cx="1990725" cy="647700"/>
          </a:xfrm>
          <a:prstGeom prst="roundRect">
            <a:avLst/>
          </a:prstGeom>
          <a:solidFill>
            <a:schemeClr val="accent2">
              <a:lumMod val="40000"/>
              <a:lumOff val="60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'Tabela Dinâmica'!I4">
        <xdr:nvSpPr>
          <xdr:cNvPr id="25" name="CaixaDeTexto 24">
            <a:extLst>
              <a:ext uri="{FF2B5EF4-FFF2-40B4-BE49-F238E27FC236}">
                <a16:creationId xmlns:a16="http://schemas.microsoft.com/office/drawing/2014/main" id="{6D11E52B-BB58-E5D9-7070-D63C36BDEE15}"/>
              </a:ext>
            </a:extLst>
          </xdr:cNvPr>
          <xdr:cNvSpPr txBox="1"/>
        </xdr:nvSpPr>
        <xdr:spPr>
          <a:xfrm>
            <a:off x="4038600" y="1371600"/>
            <a:ext cx="2019299" cy="371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74A0A98-114A-4C1D-8A1A-FC9D74394A38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t> R$ 21.000,00 </a:t>
            </a:fld>
            <a:endParaRPr lang="pt-BR" sz="2800" b="1">
              <a:solidFill>
                <a:schemeClr val="tx1">
                  <a:lumMod val="85000"/>
                  <a:lumOff val="15000"/>
                </a:schemeClr>
              </a:solidFill>
            </a:endParaRPr>
          </a:p>
        </xdr:txBody>
      </xdr:sp>
      <xdr:sp macro="" textlink="">
        <xdr:nvSpPr>
          <xdr:cNvPr id="26" name="CaixaDeTexto 25">
            <a:extLst>
              <a:ext uri="{FF2B5EF4-FFF2-40B4-BE49-F238E27FC236}">
                <a16:creationId xmlns:a16="http://schemas.microsoft.com/office/drawing/2014/main" id="{14BF915F-59B7-F476-0C2D-6DA8BE681270}"/>
              </a:ext>
            </a:extLst>
          </xdr:cNvPr>
          <xdr:cNvSpPr txBox="1"/>
        </xdr:nvSpPr>
        <xdr:spPr>
          <a:xfrm>
            <a:off x="4067175" y="1200150"/>
            <a:ext cx="2019300" cy="219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pt-BR" sz="1200" b="0" i="0" u="none" strike="noStrike">
                <a:solidFill>
                  <a:schemeClr val="tx1">
                    <a:lumMod val="85000"/>
                    <a:lumOff val="15000"/>
                  </a:schemeClr>
                </a:solidFill>
                <a:latin typeface="Calibri"/>
                <a:ea typeface="+mn-ea"/>
                <a:cs typeface="Calibri"/>
              </a:rPr>
              <a:t>Maior Salário</a:t>
            </a:r>
          </a:p>
        </xdr:txBody>
      </xdr:sp>
    </xdr:grpSp>
    <xdr:clientData/>
  </xdr:twoCellAnchor>
  <xdr:twoCellAnchor>
    <xdr:from>
      <xdr:col>12</xdr:col>
      <xdr:colOff>514350</xdr:colOff>
      <xdr:row>5</xdr:row>
      <xdr:rowOff>161925</xdr:rowOff>
    </xdr:from>
    <xdr:to>
      <xdr:col>16</xdr:col>
      <xdr:colOff>123825</xdr:colOff>
      <xdr:row>9</xdr:row>
      <xdr:rowOff>47625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1D34BF6C-82AA-498C-938E-75B0B580148E}"/>
            </a:ext>
          </a:extLst>
        </xdr:cNvPr>
        <xdr:cNvGrpSpPr/>
      </xdr:nvGrpSpPr>
      <xdr:grpSpPr>
        <a:xfrm>
          <a:off x="8791575" y="1114425"/>
          <a:ext cx="2047875" cy="647700"/>
          <a:chOff x="4038600" y="1114425"/>
          <a:chExt cx="2047875" cy="647700"/>
        </a:xfrm>
      </xdr:grpSpPr>
      <xdr:sp macro="" textlink="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059E2828-7632-C601-0EC9-6BD374AE3B6D}"/>
              </a:ext>
            </a:extLst>
          </xdr:cNvPr>
          <xdr:cNvSpPr/>
        </xdr:nvSpPr>
        <xdr:spPr>
          <a:xfrm>
            <a:off x="4048125" y="1114425"/>
            <a:ext cx="1990725" cy="647700"/>
          </a:xfrm>
          <a:prstGeom prst="roundRect">
            <a:avLst/>
          </a:prstGeom>
          <a:solidFill>
            <a:schemeClr val="accent2">
              <a:lumMod val="40000"/>
              <a:lumOff val="60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'Tabela Dinâmica'!I5">
        <xdr:nvSpPr>
          <xdr:cNvPr id="29" name="CaixaDeTexto 28">
            <a:extLst>
              <a:ext uri="{FF2B5EF4-FFF2-40B4-BE49-F238E27FC236}">
                <a16:creationId xmlns:a16="http://schemas.microsoft.com/office/drawing/2014/main" id="{FEB90743-F6AB-EAA1-FB11-010DA1AAFE63}"/>
              </a:ext>
            </a:extLst>
          </xdr:cNvPr>
          <xdr:cNvSpPr txBox="1"/>
        </xdr:nvSpPr>
        <xdr:spPr>
          <a:xfrm>
            <a:off x="4038600" y="1371600"/>
            <a:ext cx="2019299" cy="371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5DF98CD-059A-4EEF-A3D9-4E7DC64B0DB6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t> R$ 1.800,00 </a:t>
            </a:fld>
            <a:endParaRPr lang="pt-BR" sz="4000" b="1">
              <a:solidFill>
                <a:schemeClr val="tx1">
                  <a:lumMod val="85000"/>
                  <a:lumOff val="15000"/>
                </a:schemeClr>
              </a:solidFill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D443FA7A-FEF8-5E69-A052-1B21748D1C78}"/>
              </a:ext>
            </a:extLst>
          </xdr:cNvPr>
          <xdr:cNvSpPr txBox="1"/>
        </xdr:nvSpPr>
        <xdr:spPr>
          <a:xfrm>
            <a:off x="4067175" y="1200150"/>
            <a:ext cx="2019300" cy="219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pt-BR" sz="1200" b="0" i="0" u="none" strike="noStrike">
                <a:solidFill>
                  <a:schemeClr val="tx1">
                    <a:lumMod val="85000"/>
                    <a:lumOff val="15000"/>
                  </a:schemeClr>
                </a:solidFill>
                <a:latin typeface="Calibri"/>
                <a:ea typeface="+mn-ea"/>
                <a:cs typeface="Calibri"/>
              </a:rPr>
              <a:t>Menor Salário</a:t>
            </a:r>
          </a:p>
        </xdr:txBody>
      </xdr:sp>
    </xdr:grpSp>
    <xdr:clientData/>
  </xdr:twoCellAnchor>
  <xdr:twoCellAnchor>
    <xdr:from>
      <xdr:col>6</xdr:col>
      <xdr:colOff>514350</xdr:colOff>
      <xdr:row>10</xdr:row>
      <xdr:rowOff>133350</xdr:rowOff>
    </xdr:from>
    <xdr:to>
      <xdr:col>10</xdr:col>
      <xdr:colOff>123825</xdr:colOff>
      <xdr:row>14</xdr:row>
      <xdr:rowOff>19050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21312E81-A90E-4230-B4DA-359E9600349B}"/>
            </a:ext>
          </a:extLst>
        </xdr:cNvPr>
        <xdr:cNvGrpSpPr/>
      </xdr:nvGrpSpPr>
      <xdr:grpSpPr>
        <a:xfrm>
          <a:off x="5133975" y="2038350"/>
          <a:ext cx="2047875" cy="647700"/>
          <a:chOff x="4038600" y="1114425"/>
          <a:chExt cx="2047875" cy="647700"/>
        </a:xfrm>
      </xdr:grpSpPr>
      <xdr:sp macro="" textlink="">
        <xdr:nvSpPr>
          <xdr:cNvPr id="36" name="Retângulo: Cantos Arredondados 35">
            <a:extLst>
              <a:ext uri="{FF2B5EF4-FFF2-40B4-BE49-F238E27FC236}">
                <a16:creationId xmlns:a16="http://schemas.microsoft.com/office/drawing/2014/main" id="{54B34D77-F776-2149-B193-B76F62CB9394}"/>
              </a:ext>
            </a:extLst>
          </xdr:cNvPr>
          <xdr:cNvSpPr/>
        </xdr:nvSpPr>
        <xdr:spPr>
          <a:xfrm>
            <a:off x="4048125" y="1114425"/>
            <a:ext cx="1990725" cy="647700"/>
          </a:xfrm>
          <a:prstGeom prst="roundRect">
            <a:avLst/>
          </a:prstGeom>
          <a:solidFill>
            <a:schemeClr val="accent2">
              <a:lumMod val="40000"/>
              <a:lumOff val="60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'Tabela Dinâmica'!I6">
        <xdr:nvSpPr>
          <xdr:cNvPr id="37" name="CaixaDeTexto 36">
            <a:extLst>
              <a:ext uri="{FF2B5EF4-FFF2-40B4-BE49-F238E27FC236}">
                <a16:creationId xmlns:a16="http://schemas.microsoft.com/office/drawing/2014/main" id="{3652493E-A25C-0AAF-2905-8FDEC48C4B41}"/>
              </a:ext>
            </a:extLst>
          </xdr:cNvPr>
          <xdr:cNvSpPr txBox="1"/>
        </xdr:nvSpPr>
        <xdr:spPr>
          <a:xfrm>
            <a:off x="4038600" y="1371600"/>
            <a:ext cx="2019299" cy="371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72965F24-2BDB-434A-BD53-CB007C943F5D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t> R$ 7.756,67 </a:t>
            </a:fld>
            <a:endParaRPr lang="pt-BR" sz="5400" b="1">
              <a:solidFill>
                <a:schemeClr val="tx1">
                  <a:lumMod val="85000"/>
                  <a:lumOff val="15000"/>
                </a:schemeClr>
              </a:solidFill>
            </a:endParaRPr>
          </a:p>
        </xdr:txBody>
      </xdr:sp>
      <xdr:sp macro="" textlink="">
        <xdr:nvSpPr>
          <xdr:cNvPr id="38" name="CaixaDeTexto 37">
            <a:extLst>
              <a:ext uri="{FF2B5EF4-FFF2-40B4-BE49-F238E27FC236}">
                <a16:creationId xmlns:a16="http://schemas.microsoft.com/office/drawing/2014/main" id="{7C36C8EE-8EE5-A07B-DB8F-AA7770015BD2}"/>
              </a:ext>
            </a:extLst>
          </xdr:cNvPr>
          <xdr:cNvSpPr txBox="1"/>
        </xdr:nvSpPr>
        <xdr:spPr>
          <a:xfrm>
            <a:off x="4067175" y="1200150"/>
            <a:ext cx="2019300" cy="219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pt-BR" sz="1200" b="0" i="0" u="none" strike="noStrike">
                <a:solidFill>
                  <a:schemeClr val="tx1">
                    <a:lumMod val="85000"/>
                    <a:lumOff val="15000"/>
                  </a:schemeClr>
                </a:solidFill>
                <a:latin typeface="Calibri"/>
                <a:ea typeface="+mn-ea"/>
                <a:cs typeface="Calibri"/>
              </a:rPr>
              <a:t>Média Salarial</a:t>
            </a:r>
          </a:p>
        </xdr:txBody>
      </xdr:sp>
    </xdr:grpSp>
    <xdr:clientData/>
  </xdr:twoCellAnchor>
  <xdr:twoCellAnchor>
    <xdr:from>
      <xdr:col>11</xdr:col>
      <xdr:colOff>9525</xdr:colOff>
      <xdr:row>10</xdr:row>
      <xdr:rowOff>133350</xdr:rowOff>
    </xdr:from>
    <xdr:to>
      <xdr:col>14</xdr:col>
      <xdr:colOff>228600</xdr:colOff>
      <xdr:row>14</xdr:row>
      <xdr:rowOff>19050</xdr:rowOff>
    </xdr:to>
    <xdr:grpSp>
      <xdr:nvGrpSpPr>
        <xdr:cNvPr id="39" name="Agrupar 38">
          <a:extLst>
            <a:ext uri="{FF2B5EF4-FFF2-40B4-BE49-F238E27FC236}">
              <a16:creationId xmlns:a16="http://schemas.microsoft.com/office/drawing/2014/main" id="{3F144CE2-D76B-42CA-B34B-7A6AF77EF80A}"/>
            </a:ext>
          </a:extLst>
        </xdr:cNvPr>
        <xdr:cNvGrpSpPr/>
      </xdr:nvGrpSpPr>
      <xdr:grpSpPr>
        <a:xfrm>
          <a:off x="7677150" y="2038350"/>
          <a:ext cx="2047875" cy="647700"/>
          <a:chOff x="4038600" y="1114425"/>
          <a:chExt cx="2047875" cy="647700"/>
        </a:xfrm>
      </xdr:grpSpPr>
      <xdr:sp macro="" textlink="">
        <xdr:nvSpPr>
          <xdr:cNvPr id="40" name="Retângulo: Cantos Arredondados 39">
            <a:extLst>
              <a:ext uri="{FF2B5EF4-FFF2-40B4-BE49-F238E27FC236}">
                <a16:creationId xmlns:a16="http://schemas.microsoft.com/office/drawing/2014/main" id="{15838F1D-CB3C-4EA5-0B73-CED670CD54AE}"/>
              </a:ext>
            </a:extLst>
          </xdr:cNvPr>
          <xdr:cNvSpPr/>
        </xdr:nvSpPr>
        <xdr:spPr>
          <a:xfrm>
            <a:off x="4048125" y="1114425"/>
            <a:ext cx="1990725" cy="647700"/>
          </a:xfrm>
          <a:prstGeom prst="roundRect">
            <a:avLst/>
          </a:prstGeom>
          <a:solidFill>
            <a:schemeClr val="accent2">
              <a:lumMod val="40000"/>
              <a:lumOff val="60000"/>
            </a:schemeClr>
          </a:solidFill>
          <a:ln>
            <a:solidFill>
              <a:schemeClr val="accent2">
                <a:lumMod val="40000"/>
                <a:lumOff val="60000"/>
              </a:schemeClr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'Tabela Dinâmica'!I7">
        <xdr:nvSpPr>
          <xdr:cNvPr id="41" name="CaixaDeTexto 40">
            <a:extLst>
              <a:ext uri="{FF2B5EF4-FFF2-40B4-BE49-F238E27FC236}">
                <a16:creationId xmlns:a16="http://schemas.microsoft.com/office/drawing/2014/main" id="{69F0EAA3-F68B-1673-A5D8-3323EE9A77DA}"/>
              </a:ext>
            </a:extLst>
          </xdr:cNvPr>
          <xdr:cNvSpPr txBox="1"/>
        </xdr:nvSpPr>
        <xdr:spPr>
          <a:xfrm>
            <a:off x="4038600" y="1371600"/>
            <a:ext cx="2019299" cy="371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99D759EA-80A9-4122-B004-B789138FA7B0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t> R$ 232.700,00 </a:t>
            </a:fld>
            <a:endParaRPr lang="pt-BR" sz="7200" b="1">
              <a:solidFill>
                <a:schemeClr val="tx1">
                  <a:lumMod val="85000"/>
                  <a:lumOff val="15000"/>
                </a:schemeClr>
              </a:solidFill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DF0FE405-0DD4-96A8-0918-2BA800C745FA}"/>
              </a:ext>
            </a:extLst>
          </xdr:cNvPr>
          <xdr:cNvSpPr txBox="1"/>
        </xdr:nvSpPr>
        <xdr:spPr>
          <a:xfrm>
            <a:off x="4067175" y="1200150"/>
            <a:ext cx="2019300" cy="219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lang="pt-BR" sz="1200" b="0" i="0" u="none" strike="noStrike">
                <a:solidFill>
                  <a:schemeClr val="tx1">
                    <a:lumMod val="85000"/>
                    <a:lumOff val="15000"/>
                  </a:schemeClr>
                </a:solidFill>
                <a:latin typeface="Calibri"/>
                <a:ea typeface="+mn-ea"/>
                <a:cs typeface="Calibri"/>
              </a:rPr>
              <a:t>Gasto Salarial Total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en Luiza Marques" refreshedDate="46055.58182013889" createdVersion="8" refreshedVersion="8" minRefreshableVersion="3" recordCount="30" xr:uid="{BB43149A-7E6C-489A-A86E-C41926B4B9B9}">
  <cacheSource type="worksheet">
    <worksheetSource ref="A1:J31" sheet="Base de Dados"/>
  </cacheSource>
  <cacheFields count="10">
    <cacheField name="Código RH" numFmtId="0">
      <sharedItems containsSemiMixedTypes="0" containsString="0" containsNumber="1" containsInteger="1" minValue="1" maxValue="30" count="3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</sharedItems>
    </cacheField>
    <cacheField name="Nome" numFmtId="0">
      <sharedItems/>
    </cacheField>
    <cacheField name="Gênero" numFmtId="0">
      <sharedItems count="2">
        <s v="Mulher"/>
        <s v="Homem"/>
      </sharedItems>
    </cacheField>
    <cacheField name="Data de Nascimento" numFmtId="14">
      <sharedItems containsSemiMixedTypes="0" containsNonDate="0" containsDate="1" containsString="0" minDate="1985-05-14T00:00:00" maxDate="2003-09-06T00:00:00"/>
    </cacheField>
    <cacheField name="Data de Contratação" numFmtId="14">
      <sharedItems containsSemiMixedTypes="0" containsNonDate="0" containsDate="1" containsString="0" minDate="2015-05-04T00:00:00" maxDate="2022-02-02T00:00:00"/>
    </cacheField>
    <cacheField name="Estado" numFmtId="0">
      <sharedItems count="5">
        <s v="São Paulo"/>
        <s v="Goiás"/>
        <s v="Mato Grosso"/>
        <s v="Rio de Janeiro"/>
        <s v="Santa Catarina"/>
      </sharedItems>
    </cacheField>
    <cacheField name="Setor" numFmtId="0">
      <sharedItems count="4">
        <s v="Comercial"/>
        <s v="Financeiro"/>
        <s v="Logística"/>
        <s v="Administração"/>
      </sharedItems>
    </cacheField>
    <cacheField name="Cargo" numFmtId="0">
      <sharedItems count="5">
        <s v="Analista"/>
        <s v="Gerente"/>
        <s v="Estagiário"/>
        <s v="Supervisor"/>
        <s v="Diretor"/>
      </sharedItems>
    </cacheField>
    <cacheField name="Salário" numFmtId="44">
      <sharedItems containsSemiMixedTypes="0" containsString="0" containsNumber="1" containsInteger="1" minValue="1800" maxValue="21000"/>
    </cacheField>
    <cacheField name="Nota do Funcionário" numFmtId="0">
      <sharedItems containsSemiMixedTypes="0" containsString="0" containsNumber="1" containsInteger="1" minValue="5" maxValue="10"/>
    </cacheField>
  </cacheFields>
  <extLst>
    <ext xmlns:x14="http://schemas.microsoft.com/office/spreadsheetml/2009/9/main" uri="{725AE2AE-9491-48be-B2B4-4EB974FC3084}">
      <x14:pivotCacheDefinition pivotCacheId="12738482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Amanda Dutra"/>
    <x v="0"/>
    <d v="2000-08-15T00:00:00"/>
    <d v="2020-02-18T00:00:00"/>
    <x v="0"/>
    <x v="0"/>
    <x v="0"/>
    <n v="7500"/>
    <n v="8"/>
  </r>
  <r>
    <x v="1"/>
    <s v="Alex Pereira"/>
    <x v="1"/>
    <d v="1996-02-25T00:00:00"/>
    <d v="2015-05-04T00:00:00"/>
    <x v="1"/>
    <x v="1"/>
    <x v="1"/>
    <n v="12000"/>
    <n v="7"/>
  </r>
  <r>
    <x v="2"/>
    <s v="Alek Siqueira"/>
    <x v="1"/>
    <d v="1995-11-30T00:00:00"/>
    <d v="2018-12-08T00:00:00"/>
    <x v="2"/>
    <x v="2"/>
    <x v="2"/>
    <n v="1800"/>
    <n v="8"/>
  </r>
  <r>
    <x v="3"/>
    <s v="Afonso Valente"/>
    <x v="1"/>
    <d v="2001-01-01T00:00:00"/>
    <d v="2022-02-01T00:00:00"/>
    <x v="3"/>
    <x v="3"/>
    <x v="3"/>
    <n v="9100"/>
    <n v="5"/>
  </r>
  <r>
    <x v="4"/>
    <s v="Bruna Nogueira"/>
    <x v="0"/>
    <d v="2003-09-05T00:00:00"/>
    <d v="2015-07-07T00:00:00"/>
    <x v="4"/>
    <x v="3"/>
    <x v="4"/>
    <n v="21000"/>
    <n v="8"/>
  </r>
  <r>
    <x v="5"/>
    <s v="Beatriz Regina"/>
    <x v="0"/>
    <d v="1990-07-18T00:00:00"/>
    <d v="2015-05-05T00:00:00"/>
    <x v="2"/>
    <x v="0"/>
    <x v="1"/>
    <n v="13800"/>
    <n v="9"/>
  </r>
  <r>
    <x v="6"/>
    <s v="Barbara Jesus"/>
    <x v="0"/>
    <d v="1985-05-14T00:00:00"/>
    <d v="2016-03-08T00:00:00"/>
    <x v="1"/>
    <x v="2"/>
    <x v="2"/>
    <n v="1800"/>
    <n v="8"/>
  </r>
  <r>
    <x v="7"/>
    <s v="Carolina Silva"/>
    <x v="0"/>
    <d v="1992-07-24T00:00:00"/>
    <d v="2018-12-04T00:00:00"/>
    <x v="1"/>
    <x v="3"/>
    <x v="1"/>
    <n v="11400"/>
    <n v="9"/>
  </r>
  <r>
    <x v="8"/>
    <s v="Carlos Santos"/>
    <x v="1"/>
    <d v="2000-10-21T00:00:00"/>
    <d v="2020-02-19T00:00:00"/>
    <x v="0"/>
    <x v="0"/>
    <x v="0"/>
    <n v="7500"/>
    <n v="5"/>
  </r>
  <r>
    <x v="9"/>
    <s v="Cleber Lucas"/>
    <x v="1"/>
    <d v="1994-12-30T00:00:00"/>
    <d v="2022-02-01T00:00:00"/>
    <x v="4"/>
    <x v="2"/>
    <x v="3"/>
    <n v="9200"/>
    <n v="8"/>
  </r>
  <r>
    <x v="10"/>
    <s v="Diana Alencar"/>
    <x v="0"/>
    <d v="1993-07-07T00:00:00"/>
    <d v="2018-12-04T00:00:00"/>
    <x v="0"/>
    <x v="3"/>
    <x v="2"/>
    <n v="1800"/>
    <n v="7"/>
  </r>
  <r>
    <x v="11"/>
    <s v="Eduardo José"/>
    <x v="1"/>
    <d v="2001-12-08T00:00:00"/>
    <d v="2018-12-08T00:00:00"/>
    <x v="2"/>
    <x v="0"/>
    <x v="2"/>
    <n v="1800"/>
    <n v="9"/>
  </r>
  <r>
    <x v="12"/>
    <s v="Falcão Gomes"/>
    <x v="1"/>
    <d v="1990-06-17T00:00:00"/>
    <d v="2022-02-01T00:00:00"/>
    <x v="4"/>
    <x v="1"/>
    <x v="0"/>
    <n v="7800"/>
    <n v="8"/>
  </r>
  <r>
    <x v="13"/>
    <s v="Gabriel Dimitri"/>
    <x v="1"/>
    <d v="1996-11-26T00:00:00"/>
    <d v="2015-07-07T00:00:00"/>
    <x v="2"/>
    <x v="1"/>
    <x v="0"/>
    <n v="7800"/>
    <n v="6"/>
  </r>
  <r>
    <x v="14"/>
    <s v="Gabriela Silva"/>
    <x v="0"/>
    <d v="1999-10-14T00:00:00"/>
    <d v="2016-03-08T00:00:00"/>
    <x v="0"/>
    <x v="2"/>
    <x v="3"/>
    <n v="9300"/>
    <n v="9"/>
  </r>
  <r>
    <x v="15"/>
    <s v="Iago Moreira"/>
    <x v="1"/>
    <d v="1999-01-02T00:00:00"/>
    <d v="2018-12-04T00:00:00"/>
    <x v="3"/>
    <x v="3"/>
    <x v="0"/>
    <n v="7400"/>
    <n v="7"/>
  </r>
  <r>
    <x v="16"/>
    <s v="Joana Mendes"/>
    <x v="0"/>
    <d v="1997-07-27T00:00:00"/>
    <d v="2022-02-01T00:00:00"/>
    <x v="2"/>
    <x v="2"/>
    <x v="0"/>
    <n v="7600"/>
    <n v="10"/>
  </r>
  <r>
    <x v="17"/>
    <s v="Julia Jansen"/>
    <x v="0"/>
    <d v="2000-08-20T00:00:00"/>
    <d v="2015-07-07T00:00:00"/>
    <x v="0"/>
    <x v="2"/>
    <x v="0"/>
    <n v="7600"/>
    <n v="5"/>
  </r>
  <r>
    <x v="18"/>
    <s v="Matheus Aleixo"/>
    <x v="1"/>
    <d v="1989-04-03T00:00:00"/>
    <d v="2015-05-05T00:00:00"/>
    <x v="4"/>
    <x v="0"/>
    <x v="2"/>
    <n v="1800"/>
    <n v="10"/>
  </r>
  <r>
    <x v="19"/>
    <s v="Morgana Aquen"/>
    <x v="0"/>
    <d v="1992-05-18T00:00:00"/>
    <d v="2022-02-01T00:00:00"/>
    <x v="1"/>
    <x v="3"/>
    <x v="0"/>
    <n v="7400"/>
    <n v="6"/>
  </r>
  <r>
    <x v="20"/>
    <s v="Rodrigo Liberio"/>
    <x v="1"/>
    <d v="1998-08-28T00:00:00"/>
    <d v="2020-02-19T00:00:00"/>
    <x v="3"/>
    <x v="1"/>
    <x v="0"/>
    <n v="7800"/>
    <n v="6"/>
  </r>
  <r>
    <x v="21"/>
    <s v="Rafaela Silva"/>
    <x v="0"/>
    <d v="2000-01-20T00:00:00"/>
    <d v="2022-02-01T00:00:00"/>
    <x v="0"/>
    <x v="0"/>
    <x v="0"/>
    <n v="7500"/>
    <n v="6"/>
  </r>
  <r>
    <x v="22"/>
    <s v="Sandro Sorezio"/>
    <x v="1"/>
    <d v="1991-03-29T00:00:00"/>
    <d v="2015-07-07T00:00:00"/>
    <x v="0"/>
    <x v="3"/>
    <x v="0"/>
    <n v="7400"/>
    <n v="5"/>
  </r>
  <r>
    <x v="23"/>
    <s v="Taina Helena"/>
    <x v="0"/>
    <d v="1989-12-06T00:00:00"/>
    <d v="2015-05-05T00:00:00"/>
    <x v="1"/>
    <x v="3"/>
    <x v="0"/>
    <n v="7400"/>
    <n v="9"/>
  </r>
  <r>
    <x v="24"/>
    <s v="Tania Miranda"/>
    <x v="0"/>
    <d v="2001-09-10T00:00:00"/>
    <d v="2015-07-07T00:00:00"/>
    <x v="0"/>
    <x v="0"/>
    <x v="3"/>
    <n v="9500"/>
    <n v="8"/>
  </r>
  <r>
    <x v="25"/>
    <s v="Victor Pedro"/>
    <x v="1"/>
    <d v="1997-02-02T00:00:00"/>
    <d v="2022-02-01T00:00:00"/>
    <x v="2"/>
    <x v="1"/>
    <x v="0"/>
    <n v="7800"/>
    <n v="5"/>
  </r>
  <r>
    <x v="26"/>
    <s v="Vinicius Seixas"/>
    <x v="1"/>
    <d v="1995-06-08T00:00:00"/>
    <d v="2020-02-19T00:00:00"/>
    <x v="3"/>
    <x v="2"/>
    <x v="1"/>
    <n v="13100"/>
    <n v="7"/>
  </r>
  <r>
    <x v="27"/>
    <s v="Welliton Marques"/>
    <x v="1"/>
    <d v="2001-10-27T00:00:00"/>
    <d v="2018-12-08T00:00:00"/>
    <x v="0"/>
    <x v="0"/>
    <x v="0"/>
    <n v="7500"/>
    <n v="6"/>
  </r>
  <r>
    <x v="28"/>
    <s v="Wilson Cruz"/>
    <x v="1"/>
    <d v="1998-09-24T00:00:00"/>
    <d v="2022-02-01T00:00:00"/>
    <x v="2"/>
    <x v="3"/>
    <x v="2"/>
    <n v="1800"/>
    <n v="6"/>
  </r>
  <r>
    <x v="29"/>
    <s v="Zuleica Freitas"/>
    <x v="0"/>
    <d v="2000-12-12T00:00:00"/>
    <d v="2015-07-07T00:00:00"/>
    <x v="1"/>
    <x v="0"/>
    <x v="0"/>
    <n v="7500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BE69A-CF65-4EFD-9213-6E071D271D78}" name="Tabela dinâmica3" cacheId="9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outline="1" outlineData="1" multipleFieldFilters="0">
  <location ref="A35:B65" firstHeaderRow="1" firstDataRow="1" firstDataCol="1"/>
  <pivotFields count="10">
    <pivotField axis="axisRow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>
      <items count="3">
        <item x="1"/>
        <item x="0"/>
        <item t="default"/>
      </items>
    </pivotField>
    <pivotField numFmtId="14" showAll="0"/>
    <pivotField numFmtId="14" showAll="0"/>
    <pivotField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dataField="1" numFmtId="44" showAll="0"/>
    <pivotField showAl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Items count="1">
    <i/>
  </colItems>
  <dataFields count="1">
    <dataField name="Soma de Salário" fld="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BAF8D-F027-40B1-8F7A-7389B973475B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6:B29" firstHeaderRow="1" firstDataRow="1" firstDataCol="1"/>
  <pivotFields count="10">
    <pivotField dataField="1" showAll="0"/>
    <pivotField showAll="0"/>
    <pivotField axis="axisRow" showAll="0">
      <items count="3">
        <item x="1"/>
        <item x="0"/>
        <item t="default"/>
      </items>
    </pivotField>
    <pivotField numFmtId="14" showAll="0"/>
    <pivotField numFmtId="14" showAll="0"/>
    <pivotField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numFmtId="44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ntagem de Código RH" fld="0" subtotal="count" showDataAs="percentOfTotal" baseField="0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245CD-8C92-4F84-AF5C-B1AB268DACE7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tores e Cargos">
  <location ref="A3:C23" firstHeaderRow="0" firstDataRow="1" firstDataCol="1"/>
  <pivotFields count="10">
    <pivotField showAll="0"/>
    <pivotField showAll="0"/>
    <pivotField showAll="0">
      <items count="3">
        <item x="1"/>
        <item x="0"/>
        <item t="default"/>
      </items>
    </pivotField>
    <pivotField numFmtId="14" showAll="0"/>
    <pivotField numFmtId="14" showAll="0"/>
    <pivotField showAll="0">
      <items count="6">
        <item x="1"/>
        <item x="2"/>
        <item x="3"/>
        <item x="4"/>
        <item x="0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axis="axisRow" showAll="0">
      <items count="6">
        <item x="0"/>
        <item x="4"/>
        <item x="2"/>
        <item x="1"/>
        <item x="3"/>
        <item t="default"/>
      </items>
    </pivotField>
    <pivotField dataField="1" numFmtId="44" showAll="0"/>
    <pivotField dataField="1" showAll="0"/>
  </pivotFields>
  <rowFields count="2">
    <field x="6"/>
    <field x="7"/>
  </rowFields>
  <rowItems count="20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2"/>
    </i>
    <i r="1">
      <x v="3"/>
    </i>
    <i r="1">
      <x v="4"/>
    </i>
    <i>
      <x v="2"/>
    </i>
    <i r="1">
      <x/>
    </i>
    <i r="1">
      <x v="3"/>
    </i>
    <i>
      <x v="3"/>
    </i>
    <i r="1">
      <x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alários" fld="8" baseField="0" baseItem="0" numFmtId="44"/>
    <dataField name="Nota Funcionári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DA04B-FAA9-4C6C-B6A8-BF88222D486A}" name="Tabela dinâmica5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tores e Cargos">
  <location ref="B9:D29" firstHeaderRow="0" firstDataRow="1" firstDataCol="1"/>
  <pivotFields count="10">
    <pivotField showAll="0"/>
    <pivotField showAll="0"/>
    <pivotField showAll="0">
      <items count="3">
        <item x="1"/>
        <item x="0"/>
        <item t="default"/>
      </items>
    </pivotField>
    <pivotField numFmtId="14" showAll="0"/>
    <pivotField numFmtId="14" showAll="0"/>
    <pivotField showAll="0">
      <items count="6">
        <item x="1"/>
        <item x="2"/>
        <item x="3"/>
        <item x="4"/>
        <item x="0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axis="axisRow" showAll="0">
      <items count="6">
        <item x="0"/>
        <item x="4"/>
        <item x="2"/>
        <item x="1"/>
        <item x="3"/>
        <item t="default"/>
      </items>
    </pivotField>
    <pivotField dataField="1" numFmtId="44" showAll="0"/>
    <pivotField dataField="1" showAll="0"/>
  </pivotFields>
  <rowFields count="2">
    <field x="6"/>
    <field x="7"/>
  </rowFields>
  <rowItems count="20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2"/>
    </i>
    <i r="1">
      <x v="3"/>
    </i>
    <i r="1">
      <x v="4"/>
    </i>
    <i>
      <x v="2"/>
    </i>
    <i r="1">
      <x/>
    </i>
    <i r="1">
      <x v="3"/>
    </i>
    <i>
      <x v="3"/>
    </i>
    <i r="1">
      <x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alários" fld="8" baseField="0" baseItem="0" numFmtId="44"/>
    <dataField name="Nota Funcionário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ênero" xr10:uid="{4FDD83CF-A60C-451B-AB96-8492CFED0EBC}" sourceName="Gênero">
  <pivotTables>
    <pivotTable tabId="3" name="Tabela dinâmica5"/>
    <pivotTable tabId="2" name="Tabela dinâmica1"/>
    <pivotTable tabId="2" name="Tabela dinâmica2"/>
    <pivotTable tabId="2" name="Tabela dinâmica3"/>
  </pivotTables>
  <data>
    <tabular pivotCacheId="1273848264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tado" xr10:uid="{80F8733E-FB02-4679-8DE5-399CB8BBF7AB}" sourceName="Estado">
  <pivotTables>
    <pivotTable tabId="3" name="Tabela dinâmica5"/>
    <pivotTable tabId="2" name="Tabela dinâmica1"/>
    <pivotTable tabId="2" name="Tabela dinâmica2"/>
    <pivotTable tabId="2" name="Tabela dinâmica3"/>
  </pivotTables>
  <data>
    <tabular pivotCacheId="1273848264">
      <items count="5">
        <i x="1" s="1"/>
        <i x="2" s="1"/>
        <i x="3" s="1"/>
        <i x="4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ênero" xr10:uid="{4954079D-3A6B-4163-B1E3-75CA45D94DDB}" cache="SegmentaçãodeDados_Gênero" caption="Gênero" columnCount="2" style="duplicado" rowHeight="241300"/>
  <slicer name="Estado" xr10:uid="{088947E7-2F18-4C77-932A-17175A23B485}" cache="SegmentaçãodeDados_Estado" caption="Estado" columnCount="5" style="duplicado" rowHeight="241300"/>
</slicer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5E3D-0E0C-4C3B-99BB-4826050EB7CD}">
  <dimension ref="A1:J31"/>
  <sheetViews>
    <sheetView workbookViewId="0">
      <selection sqref="A1:J31"/>
    </sheetView>
  </sheetViews>
  <sheetFormatPr defaultRowHeight="15" x14ac:dyDescent="0.25"/>
  <cols>
    <col min="1" max="3" width="15.7109375" customWidth="1"/>
    <col min="4" max="4" width="18.28515625" customWidth="1"/>
    <col min="5" max="5" width="19.5703125" customWidth="1"/>
    <col min="6" max="9" width="15.7109375" customWidth="1"/>
    <col min="10" max="10" width="19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1" t="s">
        <v>10</v>
      </c>
      <c r="C2" s="1" t="s">
        <v>11</v>
      </c>
      <c r="D2" s="2">
        <v>36753</v>
      </c>
      <c r="E2" s="2">
        <v>43879</v>
      </c>
      <c r="F2" s="1" t="s">
        <v>12</v>
      </c>
      <c r="G2" s="1" t="s">
        <v>13</v>
      </c>
      <c r="H2" s="1" t="s">
        <v>14</v>
      </c>
      <c r="I2" s="3">
        <v>7500</v>
      </c>
      <c r="J2" s="1">
        <v>8</v>
      </c>
    </row>
    <row r="3" spans="1:10" x14ac:dyDescent="0.25">
      <c r="A3" s="1">
        <v>2</v>
      </c>
      <c r="B3" s="1" t="s">
        <v>15</v>
      </c>
      <c r="C3" s="1" t="s">
        <v>16</v>
      </c>
      <c r="D3" s="2">
        <v>35120</v>
      </c>
      <c r="E3" s="2">
        <v>42128</v>
      </c>
      <c r="F3" s="1" t="s">
        <v>17</v>
      </c>
      <c r="G3" s="1" t="s">
        <v>18</v>
      </c>
      <c r="H3" s="1" t="s">
        <v>19</v>
      </c>
      <c r="I3" s="3">
        <v>12000</v>
      </c>
      <c r="J3" s="1">
        <v>7</v>
      </c>
    </row>
    <row r="4" spans="1:10" x14ac:dyDescent="0.25">
      <c r="A4" s="1">
        <v>3</v>
      </c>
      <c r="B4" s="1" t="s">
        <v>20</v>
      </c>
      <c r="C4" s="1" t="s">
        <v>16</v>
      </c>
      <c r="D4" s="2">
        <v>35033</v>
      </c>
      <c r="E4" s="2">
        <v>43442</v>
      </c>
      <c r="F4" s="1" t="s">
        <v>21</v>
      </c>
      <c r="G4" s="1" t="s">
        <v>22</v>
      </c>
      <c r="H4" s="1" t="s">
        <v>23</v>
      </c>
      <c r="I4" s="3">
        <v>1800</v>
      </c>
      <c r="J4" s="1">
        <v>8</v>
      </c>
    </row>
    <row r="5" spans="1:10" x14ac:dyDescent="0.25">
      <c r="A5" s="1">
        <v>4</v>
      </c>
      <c r="B5" s="1" t="s">
        <v>24</v>
      </c>
      <c r="C5" s="1" t="s">
        <v>16</v>
      </c>
      <c r="D5" s="2">
        <v>36892</v>
      </c>
      <c r="E5" s="2">
        <v>44593</v>
      </c>
      <c r="F5" s="1" t="s">
        <v>25</v>
      </c>
      <c r="G5" s="1" t="s">
        <v>26</v>
      </c>
      <c r="H5" s="1" t="s">
        <v>27</v>
      </c>
      <c r="I5" s="3">
        <v>9100</v>
      </c>
      <c r="J5" s="1">
        <v>5</v>
      </c>
    </row>
    <row r="6" spans="1:10" x14ac:dyDescent="0.25">
      <c r="A6" s="1">
        <v>5</v>
      </c>
      <c r="B6" s="1" t="s">
        <v>28</v>
      </c>
      <c r="C6" s="1" t="s">
        <v>11</v>
      </c>
      <c r="D6" s="2">
        <v>37869</v>
      </c>
      <c r="E6" s="2">
        <v>42192</v>
      </c>
      <c r="F6" s="1" t="s">
        <v>29</v>
      </c>
      <c r="G6" s="1" t="s">
        <v>26</v>
      </c>
      <c r="H6" s="1" t="s">
        <v>30</v>
      </c>
      <c r="I6" s="3">
        <v>21000</v>
      </c>
      <c r="J6" s="1">
        <v>8</v>
      </c>
    </row>
    <row r="7" spans="1:10" x14ac:dyDescent="0.25">
      <c r="A7" s="1">
        <v>6</v>
      </c>
      <c r="B7" s="1" t="s">
        <v>31</v>
      </c>
      <c r="C7" s="1" t="s">
        <v>11</v>
      </c>
      <c r="D7" s="2">
        <v>33072</v>
      </c>
      <c r="E7" s="2">
        <v>42129</v>
      </c>
      <c r="F7" s="1" t="s">
        <v>21</v>
      </c>
      <c r="G7" s="1" t="s">
        <v>13</v>
      </c>
      <c r="H7" s="1" t="s">
        <v>19</v>
      </c>
      <c r="I7" s="3">
        <v>13800</v>
      </c>
      <c r="J7" s="1">
        <v>9</v>
      </c>
    </row>
    <row r="8" spans="1:10" x14ac:dyDescent="0.25">
      <c r="A8" s="1">
        <v>7</v>
      </c>
      <c r="B8" s="1" t="s">
        <v>32</v>
      </c>
      <c r="C8" s="1" t="s">
        <v>11</v>
      </c>
      <c r="D8" s="2">
        <v>31181</v>
      </c>
      <c r="E8" s="2">
        <v>42437</v>
      </c>
      <c r="F8" s="1" t="s">
        <v>17</v>
      </c>
      <c r="G8" s="1" t="s">
        <v>22</v>
      </c>
      <c r="H8" s="1" t="s">
        <v>23</v>
      </c>
      <c r="I8" s="3">
        <v>1800</v>
      </c>
      <c r="J8" s="1">
        <v>8</v>
      </c>
    </row>
    <row r="9" spans="1:10" x14ac:dyDescent="0.25">
      <c r="A9" s="1">
        <v>8</v>
      </c>
      <c r="B9" s="1" t="s">
        <v>33</v>
      </c>
      <c r="C9" s="1" t="s">
        <v>11</v>
      </c>
      <c r="D9" s="2">
        <v>33809</v>
      </c>
      <c r="E9" s="2">
        <v>43438</v>
      </c>
      <c r="F9" s="1" t="s">
        <v>17</v>
      </c>
      <c r="G9" s="1" t="s">
        <v>26</v>
      </c>
      <c r="H9" s="1" t="s">
        <v>19</v>
      </c>
      <c r="I9" s="3">
        <v>11400</v>
      </c>
      <c r="J9" s="1">
        <v>9</v>
      </c>
    </row>
    <row r="10" spans="1:10" x14ac:dyDescent="0.25">
      <c r="A10" s="1">
        <v>9</v>
      </c>
      <c r="B10" s="1" t="s">
        <v>34</v>
      </c>
      <c r="C10" s="1" t="s">
        <v>16</v>
      </c>
      <c r="D10" s="2">
        <v>36820</v>
      </c>
      <c r="E10" s="2">
        <v>43880</v>
      </c>
      <c r="F10" s="1" t="s">
        <v>12</v>
      </c>
      <c r="G10" s="1" t="s">
        <v>13</v>
      </c>
      <c r="H10" s="1" t="s">
        <v>14</v>
      </c>
      <c r="I10" s="3">
        <v>7500</v>
      </c>
      <c r="J10" s="1">
        <v>5</v>
      </c>
    </row>
    <row r="11" spans="1:10" x14ac:dyDescent="0.25">
      <c r="A11" s="1">
        <v>10</v>
      </c>
      <c r="B11" s="1" t="s">
        <v>35</v>
      </c>
      <c r="C11" s="1" t="s">
        <v>16</v>
      </c>
      <c r="D11" s="2">
        <v>34698</v>
      </c>
      <c r="E11" s="2">
        <v>44593</v>
      </c>
      <c r="F11" s="1" t="s">
        <v>29</v>
      </c>
      <c r="G11" s="1" t="s">
        <v>22</v>
      </c>
      <c r="H11" s="1" t="s">
        <v>27</v>
      </c>
      <c r="I11" s="3">
        <v>9200</v>
      </c>
      <c r="J11" s="1">
        <v>8</v>
      </c>
    </row>
    <row r="12" spans="1:10" x14ac:dyDescent="0.25">
      <c r="A12" s="1">
        <v>11</v>
      </c>
      <c r="B12" s="1" t="s">
        <v>36</v>
      </c>
      <c r="C12" s="1" t="s">
        <v>11</v>
      </c>
      <c r="D12" s="2">
        <v>34157</v>
      </c>
      <c r="E12" s="2">
        <v>43438</v>
      </c>
      <c r="F12" s="1" t="s">
        <v>12</v>
      </c>
      <c r="G12" s="1" t="s">
        <v>26</v>
      </c>
      <c r="H12" s="1" t="s">
        <v>23</v>
      </c>
      <c r="I12" s="3">
        <v>1800</v>
      </c>
      <c r="J12" s="1">
        <v>7</v>
      </c>
    </row>
    <row r="13" spans="1:10" x14ac:dyDescent="0.25">
      <c r="A13" s="1">
        <v>12</v>
      </c>
      <c r="B13" s="1" t="s">
        <v>37</v>
      </c>
      <c r="C13" s="1" t="s">
        <v>16</v>
      </c>
      <c r="D13" s="2">
        <v>37233</v>
      </c>
      <c r="E13" s="2">
        <v>43442</v>
      </c>
      <c r="F13" s="1" t="s">
        <v>21</v>
      </c>
      <c r="G13" s="1" t="s">
        <v>13</v>
      </c>
      <c r="H13" s="1" t="s">
        <v>23</v>
      </c>
      <c r="I13" s="3">
        <v>1800</v>
      </c>
      <c r="J13" s="1">
        <v>9</v>
      </c>
    </row>
    <row r="14" spans="1:10" x14ac:dyDescent="0.25">
      <c r="A14" s="1">
        <v>13</v>
      </c>
      <c r="B14" s="1" t="s">
        <v>38</v>
      </c>
      <c r="C14" s="1" t="s">
        <v>16</v>
      </c>
      <c r="D14" s="2">
        <v>33041</v>
      </c>
      <c r="E14" s="2">
        <v>44593</v>
      </c>
      <c r="F14" s="1" t="s">
        <v>29</v>
      </c>
      <c r="G14" s="1" t="s">
        <v>18</v>
      </c>
      <c r="H14" s="1" t="s">
        <v>14</v>
      </c>
      <c r="I14" s="3">
        <v>7800</v>
      </c>
      <c r="J14" s="1">
        <v>8</v>
      </c>
    </row>
    <row r="15" spans="1:10" x14ac:dyDescent="0.25">
      <c r="A15" s="1">
        <v>14</v>
      </c>
      <c r="B15" s="1" t="s">
        <v>39</v>
      </c>
      <c r="C15" s="1" t="s">
        <v>16</v>
      </c>
      <c r="D15" s="2">
        <v>35395</v>
      </c>
      <c r="E15" s="2">
        <v>42192</v>
      </c>
      <c r="F15" s="1" t="s">
        <v>21</v>
      </c>
      <c r="G15" s="1" t="s">
        <v>18</v>
      </c>
      <c r="H15" s="1" t="s">
        <v>14</v>
      </c>
      <c r="I15" s="3">
        <v>7800</v>
      </c>
      <c r="J15" s="1">
        <v>6</v>
      </c>
    </row>
    <row r="16" spans="1:10" x14ac:dyDescent="0.25">
      <c r="A16" s="1">
        <v>15</v>
      </c>
      <c r="B16" s="1" t="s">
        <v>40</v>
      </c>
      <c r="C16" s="1" t="s">
        <v>11</v>
      </c>
      <c r="D16" s="2">
        <v>36447</v>
      </c>
      <c r="E16" s="2">
        <v>42437</v>
      </c>
      <c r="F16" s="1" t="s">
        <v>12</v>
      </c>
      <c r="G16" s="1" t="s">
        <v>22</v>
      </c>
      <c r="H16" s="1" t="s">
        <v>27</v>
      </c>
      <c r="I16" s="3">
        <v>9300</v>
      </c>
      <c r="J16" s="1">
        <v>9</v>
      </c>
    </row>
    <row r="17" spans="1:10" x14ac:dyDescent="0.25">
      <c r="A17" s="1">
        <v>16</v>
      </c>
      <c r="B17" s="1" t="s">
        <v>41</v>
      </c>
      <c r="C17" s="1" t="s">
        <v>16</v>
      </c>
      <c r="D17" s="2">
        <v>36162</v>
      </c>
      <c r="E17" s="2">
        <v>43438</v>
      </c>
      <c r="F17" s="1" t="s">
        <v>25</v>
      </c>
      <c r="G17" s="1" t="s">
        <v>26</v>
      </c>
      <c r="H17" s="1" t="s">
        <v>14</v>
      </c>
      <c r="I17" s="3">
        <v>7400</v>
      </c>
      <c r="J17" s="1">
        <v>7</v>
      </c>
    </row>
    <row r="18" spans="1:10" x14ac:dyDescent="0.25">
      <c r="A18" s="1">
        <v>17</v>
      </c>
      <c r="B18" s="1" t="s">
        <v>42</v>
      </c>
      <c r="C18" s="1" t="s">
        <v>11</v>
      </c>
      <c r="D18" s="2">
        <v>35638</v>
      </c>
      <c r="E18" s="2">
        <v>44593</v>
      </c>
      <c r="F18" s="1" t="s">
        <v>21</v>
      </c>
      <c r="G18" s="1" t="s">
        <v>22</v>
      </c>
      <c r="H18" s="1" t="s">
        <v>14</v>
      </c>
      <c r="I18" s="3">
        <v>7600</v>
      </c>
      <c r="J18" s="1">
        <v>10</v>
      </c>
    </row>
    <row r="19" spans="1:10" x14ac:dyDescent="0.25">
      <c r="A19" s="1">
        <v>18</v>
      </c>
      <c r="B19" s="1" t="s">
        <v>43</v>
      </c>
      <c r="C19" s="1" t="s">
        <v>11</v>
      </c>
      <c r="D19" s="2">
        <v>36758</v>
      </c>
      <c r="E19" s="2">
        <v>42192</v>
      </c>
      <c r="F19" s="1" t="s">
        <v>12</v>
      </c>
      <c r="G19" s="1" t="s">
        <v>22</v>
      </c>
      <c r="H19" s="1" t="s">
        <v>14</v>
      </c>
      <c r="I19" s="3">
        <v>7600</v>
      </c>
      <c r="J19" s="1">
        <v>5</v>
      </c>
    </row>
    <row r="20" spans="1:10" x14ac:dyDescent="0.25">
      <c r="A20" s="1">
        <v>19</v>
      </c>
      <c r="B20" s="1" t="s">
        <v>44</v>
      </c>
      <c r="C20" s="1" t="s">
        <v>16</v>
      </c>
      <c r="D20" s="2">
        <v>32601</v>
      </c>
      <c r="E20" s="2">
        <v>42129</v>
      </c>
      <c r="F20" s="1" t="s">
        <v>29</v>
      </c>
      <c r="G20" s="1" t="s">
        <v>13</v>
      </c>
      <c r="H20" s="1" t="s">
        <v>23</v>
      </c>
      <c r="I20" s="3">
        <v>1800</v>
      </c>
      <c r="J20" s="1">
        <v>10</v>
      </c>
    </row>
    <row r="21" spans="1:10" x14ac:dyDescent="0.25">
      <c r="A21" s="1">
        <v>20</v>
      </c>
      <c r="B21" s="1" t="s">
        <v>45</v>
      </c>
      <c r="C21" s="1" t="s">
        <v>11</v>
      </c>
      <c r="D21" s="2">
        <v>33742</v>
      </c>
      <c r="E21" s="2">
        <v>44593</v>
      </c>
      <c r="F21" s="1" t="s">
        <v>17</v>
      </c>
      <c r="G21" s="1" t="s">
        <v>26</v>
      </c>
      <c r="H21" s="1" t="s">
        <v>14</v>
      </c>
      <c r="I21" s="3">
        <v>7400</v>
      </c>
      <c r="J21" s="1">
        <v>6</v>
      </c>
    </row>
    <row r="22" spans="1:10" x14ac:dyDescent="0.25">
      <c r="A22" s="1">
        <v>21</v>
      </c>
      <c r="B22" s="1" t="s">
        <v>46</v>
      </c>
      <c r="C22" s="1" t="s">
        <v>16</v>
      </c>
      <c r="D22" s="2">
        <v>36035</v>
      </c>
      <c r="E22" s="2">
        <v>43880</v>
      </c>
      <c r="F22" s="1" t="s">
        <v>25</v>
      </c>
      <c r="G22" s="1" t="s">
        <v>18</v>
      </c>
      <c r="H22" s="1" t="s">
        <v>14</v>
      </c>
      <c r="I22" s="3">
        <v>7800</v>
      </c>
      <c r="J22" s="1">
        <v>6</v>
      </c>
    </row>
    <row r="23" spans="1:10" x14ac:dyDescent="0.25">
      <c r="A23" s="1">
        <v>22</v>
      </c>
      <c r="B23" s="1" t="s">
        <v>47</v>
      </c>
      <c r="C23" s="1" t="s">
        <v>11</v>
      </c>
      <c r="D23" s="2">
        <v>36545</v>
      </c>
      <c r="E23" s="2">
        <v>44593</v>
      </c>
      <c r="F23" s="1" t="s">
        <v>12</v>
      </c>
      <c r="G23" s="1" t="s">
        <v>13</v>
      </c>
      <c r="H23" s="1" t="s">
        <v>14</v>
      </c>
      <c r="I23" s="3">
        <v>7500</v>
      </c>
      <c r="J23" s="1">
        <v>6</v>
      </c>
    </row>
    <row r="24" spans="1:10" x14ac:dyDescent="0.25">
      <c r="A24" s="1">
        <v>23</v>
      </c>
      <c r="B24" s="1" t="s">
        <v>48</v>
      </c>
      <c r="C24" s="1" t="s">
        <v>16</v>
      </c>
      <c r="D24" s="2">
        <v>33326</v>
      </c>
      <c r="E24" s="2">
        <v>42192</v>
      </c>
      <c r="F24" s="1" t="s">
        <v>12</v>
      </c>
      <c r="G24" s="1" t="s">
        <v>26</v>
      </c>
      <c r="H24" s="1" t="s">
        <v>14</v>
      </c>
      <c r="I24" s="3">
        <v>7400</v>
      </c>
      <c r="J24" s="1">
        <v>5</v>
      </c>
    </row>
    <row r="25" spans="1:10" x14ac:dyDescent="0.25">
      <c r="A25" s="1">
        <v>24</v>
      </c>
      <c r="B25" s="1" t="s">
        <v>49</v>
      </c>
      <c r="C25" s="1" t="s">
        <v>11</v>
      </c>
      <c r="D25" s="2">
        <v>32848</v>
      </c>
      <c r="E25" s="2">
        <v>42129</v>
      </c>
      <c r="F25" s="1" t="s">
        <v>17</v>
      </c>
      <c r="G25" s="1" t="s">
        <v>26</v>
      </c>
      <c r="H25" s="1" t="s">
        <v>14</v>
      </c>
      <c r="I25" s="3">
        <v>7400</v>
      </c>
      <c r="J25" s="1">
        <v>9</v>
      </c>
    </row>
    <row r="26" spans="1:10" x14ac:dyDescent="0.25">
      <c r="A26" s="1">
        <v>25</v>
      </c>
      <c r="B26" s="1" t="s">
        <v>50</v>
      </c>
      <c r="C26" s="1" t="s">
        <v>11</v>
      </c>
      <c r="D26" s="2">
        <v>37144</v>
      </c>
      <c r="E26" s="2">
        <v>42192</v>
      </c>
      <c r="F26" s="1" t="s">
        <v>12</v>
      </c>
      <c r="G26" s="1" t="s">
        <v>13</v>
      </c>
      <c r="H26" s="1" t="s">
        <v>27</v>
      </c>
      <c r="I26" s="3">
        <v>9500</v>
      </c>
      <c r="J26" s="1">
        <v>8</v>
      </c>
    </row>
    <row r="27" spans="1:10" x14ac:dyDescent="0.25">
      <c r="A27" s="1">
        <v>26</v>
      </c>
      <c r="B27" s="1" t="s">
        <v>51</v>
      </c>
      <c r="C27" s="1" t="s">
        <v>16</v>
      </c>
      <c r="D27" s="2">
        <v>35463</v>
      </c>
      <c r="E27" s="2">
        <v>44593</v>
      </c>
      <c r="F27" s="1" t="s">
        <v>21</v>
      </c>
      <c r="G27" s="1" t="s">
        <v>18</v>
      </c>
      <c r="H27" s="1" t="s">
        <v>14</v>
      </c>
      <c r="I27" s="3">
        <v>7800</v>
      </c>
      <c r="J27" s="1">
        <v>5</v>
      </c>
    </row>
    <row r="28" spans="1:10" x14ac:dyDescent="0.25">
      <c r="A28" s="1">
        <v>27</v>
      </c>
      <c r="B28" s="1" t="s">
        <v>52</v>
      </c>
      <c r="C28" s="1" t="s">
        <v>16</v>
      </c>
      <c r="D28" s="2">
        <v>34858</v>
      </c>
      <c r="E28" s="2">
        <v>43880</v>
      </c>
      <c r="F28" s="1" t="s">
        <v>25</v>
      </c>
      <c r="G28" s="1" t="s">
        <v>22</v>
      </c>
      <c r="H28" s="1" t="s">
        <v>19</v>
      </c>
      <c r="I28" s="3">
        <v>13100</v>
      </c>
      <c r="J28" s="1">
        <v>7</v>
      </c>
    </row>
    <row r="29" spans="1:10" x14ac:dyDescent="0.25">
      <c r="A29" s="1">
        <v>28</v>
      </c>
      <c r="B29" s="1" t="s">
        <v>53</v>
      </c>
      <c r="C29" s="1" t="s">
        <v>16</v>
      </c>
      <c r="D29" s="2">
        <v>37191</v>
      </c>
      <c r="E29" s="2">
        <v>43442</v>
      </c>
      <c r="F29" s="1" t="s">
        <v>12</v>
      </c>
      <c r="G29" s="1" t="s">
        <v>13</v>
      </c>
      <c r="H29" s="1" t="s">
        <v>14</v>
      </c>
      <c r="I29" s="3">
        <v>7500</v>
      </c>
      <c r="J29" s="1">
        <v>6</v>
      </c>
    </row>
    <row r="30" spans="1:10" x14ac:dyDescent="0.25">
      <c r="A30" s="1">
        <v>29</v>
      </c>
      <c r="B30" s="1" t="s">
        <v>54</v>
      </c>
      <c r="C30" s="1" t="s">
        <v>16</v>
      </c>
      <c r="D30" s="2">
        <v>36062</v>
      </c>
      <c r="E30" s="2">
        <v>44593</v>
      </c>
      <c r="F30" s="1" t="s">
        <v>21</v>
      </c>
      <c r="G30" s="1" t="s">
        <v>26</v>
      </c>
      <c r="H30" s="1" t="s">
        <v>23</v>
      </c>
      <c r="I30" s="3">
        <v>1800</v>
      </c>
      <c r="J30" s="1">
        <v>6</v>
      </c>
    </row>
    <row r="31" spans="1:10" x14ac:dyDescent="0.25">
      <c r="A31" s="1">
        <v>30</v>
      </c>
      <c r="B31" s="1" t="s">
        <v>55</v>
      </c>
      <c r="C31" s="1" t="s">
        <v>11</v>
      </c>
      <c r="D31" s="2">
        <v>36872</v>
      </c>
      <c r="E31" s="2">
        <v>42192</v>
      </c>
      <c r="F31" s="1" t="s">
        <v>17</v>
      </c>
      <c r="G31" s="1" t="s">
        <v>13</v>
      </c>
      <c r="H31" s="1" t="s">
        <v>14</v>
      </c>
      <c r="I31" s="3">
        <v>7500</v>
      </c>
      <c r="J31" s="1">
        <v>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AEC07-30EA-4676-8103-2C91D9ACC699}">
  <dimension ref="A3:I65"/>
  <sheetViews>
    <sheetView workbookViewId="0">
      <selection activeCell="A3" sqref="A3:C23"/>
    </sheetView>
  </sheetViews>
  <sheetFormatPr defaultRowHeight="15" x14ac:dyDescent="0.25"/>
  <cols>
    <col min="1" max="1" width="18" bestFit="1" customWidth="1"/>
    <col min="2" max="2" width="15.140625" bestFit="1" customWidth="1"/>
    <col min="3" max="3" width="16.28515625" bestFit="1" customWidth="1"/>
    <col min="8" max="8" width="17.28515625" bestFit="1" customWidth="1"/>
    <col min="9" max="9" width="14.28515625" bestFit="1" customWidth="1"/>
  </cols>
  <sheetData>
    <row r="3" spans="1:9" x14ac:dyDescent="0.25">
      <c r="A3" s="4" t="s">
        <v>67</v>
      </c>
      <c r="B3" t="s">
        <v>66</v>
      </c>
      <c r="C3" t="s">
        <v>65</v>
      </c>
      <c r="H3" t="s">
        <v>60</v>
      </c>
      <c r="I3">
        <f>COUNTA(A36:A65)</f>
        <v>30</v>
      </c>
    </row>
    <row r="4" spans="1:9" x14ac:dyDescent="0.25">
      <c r="A4" s="5" t="s">
        <v>26</v>
      </c>
      <c r="B4" s="7">
        <v>74700</v>
      </c>
      <c r="C4" s="8">
        <v>62</v>
      </c>
      <c r="H4" t="s">
        <v>61</v>
      </c>
      <c r="I4" s="7">
        <f>MAX(B36:B65)</f>
        <v>21000</v>
      </c>
    </row>
    <row r="5" spans="1:9" x14ac:dyDescent="0.25">
      <c r="A5" s="6" t="s">
        <v>14</v>
      </c>
      <c r="B5" s="7">
        <v>29600</v>
      </c>
      <c r="C5" s="8">
        <v>27</v>
      </c>
      <c r="H5" t="s">
        <v>62</v>
      </c>
      <c r="I5" s="7">
        <f>MIN(B36:B65)</f>
        <v>1800</v>
      </c>
    </row>
    <row r="6" spans="1:9" x14ac:dyDescent="0.25">
      <c r="A6" s="6" t="s">
        <v>30</v>
      </c>
      <c r="B6" s="7">
        <v>21000</v>
      </c>
      <c r="C6" s="8">
        <v>8</v>
      </c>
      <c r="H6" t="s">
        <v>63</v>
      </c>
      <c r="I6" s="7">
        <f>AVERAGE(B36:B65)</f>
        <v>7756.666666666667</v>
      </c>
    </row>
    <row r="7" spans="1:9" x14ac:dyDescent="0.25">
      <c r="A7" s="6" t="s">
        <v>23</v>
      </c>
      <c r="B7" s="7">
        <v>3600</v>
      </c>
      <c r="C7" s="8">
        <v>13</v>
      </c>
      <c r="H7" t="s">
        <v>64</v>
      </c>
      <c r="I7" s="7">
        <f>SUM(B36:B65)</f>
        <v>232700</v>
      </c>
    </row>
    <row r="8" spans="1:9" x14ac:dyDescent="0.25">
      <c r="A8" s="6" t="s">
        <v>19</v>
      </c>
      <c r="B8" s="7">
        <v>11400</v>
      </c>
      <c r="C8" s="8">
        <v>9</v>
      </c>
    </row>
    <row r="9" spans="1:9" x14ac:dyDescent="0.25">
      <c r="A9" s="6" t="s">
        <v>27</v>
      </c>
      <c r="B9" s="7">
        <v>9100</v>
      </c>
      <c r="C9" s="8">
        <v>5</v>
      </c>
    </row>
    <row r="10" spans="1:9" x14ac:dyDescent="0.25">
      <c r="A10" s="5" t="s">
        <v>13</v>
      </c>
      <c r="B10" s="7">
        <v>64400</v>
      </c>
      <c r="C10" s="8">
        <v>69</v>
      </c>
    </row>
    <row r="11" spans="1:9" x14ac:dyDescent="0.25">
      <c r="A11" s="6" t="s">
        <v>14</v>
      </c>
      <c r="B11" s="7">
        <v>37500</v>
      </c>
      <c r="C11" s="8">
        <v>33</v>
      </c>
    </row>
    <row r="12" spans="1:9" x14ac:dyDescent="0.25">
      <c r="A12" s="6" t="s">
        <v>23</v>
      </c>
      <c r="B12" s="7">
        <v>3600</v>
      </c>
      <c r="C12" s="8">
        <v>19</v>
      </c>
    </row>
    <row r="13" spans="1:9" x14ac:dyDescent="0.25">
      <c r="A13" s="6" t="s">
        <v>19</v>
      </c>
      <c r="B13" s="7">
        <v>13800</v>
      </c>
      <c r="C13" s="8">
        <v>9</v>
      </c>
    </row>
    <row r="14" spans="1:9" x14ac:dyDescent="0.25">
      <c r="A14" s="6" t="s">
        <v>27</v>
      </c>
      <c r="B14" s="7">
        <v>9500</v>
      </c>
      <c r="C14" s="8">
        <v>8</v>
      </c>
    </row>
    <row r="15" spans="1:9" x14ac:dyDescent="0.25">
      <c r="A15" s="5" t="s">
        <v>18</v>
      </c>
      <c r="B15" s="7">
        <v>43200</v>
      </c>
      <c r="C15" s="8">
        <v>32</v>
      </c>
    </row>
    <row r="16" spans="1:9" x14ac:dyDescent="0.25">
      <c r="A16" s="6" t="s">
        <v>14</v>
      </c>
      <c r="B16" s="7">
        <v>31200</v>
      </c>
      <c r="C16" s="8">
        <v>25</v>
      </c>
    </row>
    <row r="17" spans="1:3" x14ac:dyDescent="0.25">
      <c r="A17" s="6" t="s">
        <v>19</v>
      </c>
      <c r="B17" s="7">
        <v>12000</v>
      </c>
      <c r="C17" s="8">
        <v>7</v>
      </c>
    </row>
    <row r="18" spans="1:3" x14ac:dyDescent="0.25">
      <c r="A18" s="5" t="s">
        <v>22</v>
      </c>
      <c r="B18" s="7">
        <v>50400</v>
      </c>
      <c r="C18" s="8">
        <v>55</v>
      </c>
    </row>
    <row r="19" spans="1:3" x14ac:dyDescent="0.25">
      <c r="A19" s="6" t="s">
        <v>14</v>
      </c>
      <c r="B19" s="7">
        <v>15200</v>
      </c>
      <c r="C19" s="8">
        <v>15</v>
      </c>
    </row>
    <row r="20" spans="1:3" x14ac:dyDescent="0.25">
      <c r="A20" s="6" t="s">
        <v>23</v>
      </c>
      <c r="B20" s="7">
        <v>3600</v>
      </c>
      <c r="C20" s="8">
        <v>16</v>
      </c>
    </row>
    <row r="21" spans="1:3" x14ac:dyDescent="0.25">
      <c r="A21" s="6" t="s">
        <v>19</v>
      </c>
      <c r="B21" s="7">
        <v>13100</v>
      </c>
      <c r="C21" s="8">
        <v>7</v>
      </c>
    </row>
    <row r="22" spans="1:3" x14ac:dyDescent="0.25">
      <c r="A22" s="6" t="s">
        <v>27</v>
      </c>
      <c r="B22" s="7">
        <v>18500</v>
      </c>
      <c r="C22" s="8">
        <v>17</v>
      </c>
    </row>
    <row r="23" spans="1:3" x14ac:dyDescent="0.25">
      <c r="A23" s="5" t="s">
        <v>57</v>
      </c>
      <c r="B23" s="7">
        <v>232700</v>
      </c>
      <c r="C23" s="8">
        <v>218</v>
      </c>
    </row>
    <row r="26" spans="1:3" x14ac:dyDescent="0.25">
      <c r="A26" s="4" t="s">
        <v>56</v>
      </c>
      <c r="B26" t="s">
        <v>59</v>
      </c>
    </row>
    <row r="27" spans="1:3" x14ac:dyDescent="0.25">
      <c r="A27" s="5" t="s">
        <v>16</v>
      </c>
      <c r="B27" s="9">
        <v>0.53333333333333333</v>
      </c>
    </row>
    <row r="28" spans="1:3" x14ac:dyDescent="0.25">
      <c r="A28" s="5" t="s">
        <v>11</v>
      </c>
      <c r="B28" s="9">
        <v>0.46666666666666667</v>
      </c>
    </row>
    <row r="29" spans="1:3" x14ac:dyDescent="0.25">
      <c r="A29" s="5" t="s">
        <v>57</v>
      </c>
      <c r="B29" s="9">
        <v>1</v>
      </c>
    </row>
    <row r="35" spans="1:2" x14ac:dyDescent="0.25">
      <c r="A35" s="4" t="s">
        <v>56</v>
      </c>
      <c r="B35" t="s">
        <v>58</v>
      </c>
    </row>
    <row r="36" spans="1:2" x14ac:dyDescent="0.25">
      <c r="A36" s="5">
        <v>1</v>
      </c>
      <c r="B36" s="7">
        <v>7500</v>
      </c>
    </row>
    <row r="37" spans="1:2" x14ac:dyDescent="0.25">
      <c r="A37" s="5">
        <v>2</v>
      </c>
      <c r="B37" s="7">
        <v>12000</v>
      </c>
    </row>
    <row r="38" spans="1:2" x14ac:dyDescent="0.25">
      <c r="A38" s="5">
        <v>3</v>
      </c>
      <c r="B38" s="7">
        <v>1800</v>
      </c>
    </row>
    <row r="39" spans="1:2" x14ac:dyDescent="0.25">
      <c r="A39" s="5">
        <v>4</v>
      </c>
      <c r="B39" s="7">
        <v>9100</v>
      </c>
    </row>
    <row r="40" spans="1:2" x14ac:dyDescent="0.25">
      <c r="A40" s="5">
        <v>5</v>
      </c>
      <c r="B40" s="7">
        <v>21000</v>
      </c>
    </row>
    <row r="41" spans="1:2" x14ac:dyDescent="0.25">
      <c r="A41" s="5">
        <v>6</v>
      </c>
      <c r="B41" s="7">
        <v>13800</v>
      </c>
    </row>
    <row r="42" spans="1:2" x14ac:dyDescent="0.25">
      <c r="A42" s="5">
        <v>7</v>
      </c>
      <c r="B42" s="7">
        <v>1800</v>
      </c>
    </row>
    <row r="43" spans="1:2" x14ac:dyDescent="0.25">
      <c r="A43" s="5">
        <v>8</v>
      </c>
      <c r="B43" s="7">
        <v>11400</v>
      </c>
    </row>
    <row r="44" spans="1:2" x14ac:dyDescent="0.25">
      <c r="A44" s="5">
        <v>9</v>
      </c>
      <c r="B44" s="7">
        <v>7500</v>
      </c>
    </row>
    <row r="45" spans="1:2" x14ac:dyDescent="0.25">
      <c r="A45" s="5">
        <v>10</v>
      </c>
      <c r="B45" s="7">
        <v>9200</v>
      </c>
    </row>
    <row r="46" spans="1:2" x14ac:dyDescent="0.25">
      <c r="A46" s="5">
        <v>11</v>
      </c>
      <c r="B46" s="7">
        <v>1800</v>
      </c>
    </row>
    <row r="47" spans="1:2" x14ac:dyDescent="0.25">
      <c r="A47" s="5">
        <v>12</v>
      </c>
      <c r="B47" s="7">
        <v>1800</v>
      </c>
    </row>
    <row r="48" spans="1:2" x14ac:dyDescent="0.25">
      <c r="A48" s="5">
        <v>13</v>
      </c>
      <c r="B48" s="7">
        <v>7800</v>
      </c>
    </row>
    <row r="49" spans="1:2" x14ac:dyDescent="0.25">
      <c r="A49" s="5">
        <v>14</v>
      </c>
      <c r="B49" s="7">
        <v>7800</v>
      </c>
    </row>
    <row r="50" spans="1:2" x14ac:dyDescent="0.25">
      <c r="A50" s="5">
        <v>15</v>
      </c>
      <c r="B50" s="7">
        <v>9300</v>
      </c>
    </row>
    <row r="51" spans="1:2" x14ac:dyDescent="0.25">
      <c r="A51" s="5">
        <v>16</v>
      </c>
      <c r="B51" s="7">
        <v>7400</v>
      </c>
    </row>
    <row r="52" spans="1:2" x14ac:dyDescent="0.25">
      <c r="A52" s="5">
        <v>17</v>
      </c>
      <c r="B52" s="7">
        <v>7600</v>
      </c>
    </row>
    <row r="53" spans="1:2" x14ac:dyDescent="0.25">
      <c r="A53" s="5">
        <v>18</v>
      </c>
      <c r="B53" s="7">
        <v>7600</v>
      </c>
    </row>
    <row r="54" spans="1:2" x14ac:dyDescent="0.25">
      <c r="A54" s="5">
        <v>19</v>
      </c>
      <c r="B54" s="7">
        <v>1800</v>
      </c>
    </row>
    <row r="55" spans="1:2" x14ac:dyDescent="0.25">
      <c r="A55" s="5">
        <v>20</v>
      </c>
      <c r="B55" s="7">
        <v>7400</v>
      </c>
    </row>
    <row r="56" spans="1:2" x14ac:dyDescent="0.25">
      <c r="A56" s="5">
        <v>21</v>
      </c>
      <c r="B56" s="7">
        <v>7800</v>
      </c>
    </row>
    <row r="57" spans="1:2" x14ac:dyDescent="0.25">
      <c r="A57" s="5">
        <v>22</v>
      </c>
      <c r="B57" s="7">
        <v>7500</v>
      </c>
    </row>
    <row r="58" spans="1:2" x14ac:dyDescent="0.25">
      <c r="A58" s="5">
        <v>23</v>
      </c>
      <c r="B58" s="7">
        <v>7400</v>
      </c>
    </row>
    <row r="59" spans="1:2" x14ac:dyDescent="0.25">
      <c r="A59" s="5">
        <v>24</v>
      </c>
      <c r="B59" s="7">
        <v>7400</v>
      </c>
    </row>
    <row r="60" spans="1:2" x14ac:dyDescent="0.25">
      <c r="A60" s="5">
        <v>25</v>
      </c>
      <c r="B60" s="7">
        <v>9500</v>
      </c>
    </row>
    <row r="61" spans="1:2" x14ac:dyDescent="0.25">
      <c r="A61" s="5">
        <v>26</v>
      </c>
      <c r="B61" s="7">
        <v>7800</v>
      </c>
    </row>
    <row r="62" spans="1:2" x14ac:dyDescent="0.25">
      <c r="A62" s="5">
        <v>27</v>
      </c>
      <c r="B62" s="7">
        <v>13100</v>
      </c>
    </row>
    <row r="63" spans="1:2" x14ac:dyDescent="0.25">
      <c r="A63" s="5">
        <v>28</v>
      </c>
      <c r="B63" s="7">
        <v>7500</v>
      </c>
    </row>
    <row r="64" spans="1:2" x14ac:dyDescent="0.25">
      <c r="A64" s="5">
        <v>29</v>
      </c>
      <c r="B64" s="7">
        <v>1800</v>
      </c>
    </row>
    <row r="65" spans="1:2" x14ac:dyDescent="0.25">
      <c r="A65" s="5">
        <v>30</v>
      </c>
      <c r="B65" s="7">
        <v>7500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9A5EF-DFA6-4EE6-9D1E-2AE473BFF830}">
  <dimension ref="B1:D31"/>
  <sheetViews>
    <sheetView tabSelected="1" workbookViewId="0">
      <selection activeCell="I6" sqref="I6"/>
    </sheetView>
  </sheetViews>
  <sheetFormatPr defaultColWidth="0" defaultRowHeight="15" zeroHeight="1" x14ac:dyDescent="0.25"/>
  <cols>
    <col min="1" max="1" width="2.42578125" style="10" customWidth="1"/>
    <col min="2" max="2" width="18" style="10" bestFit="1" customWidth="1"/>
    <col min="3" max="3" width="14.28515625" style="10" bestFit="1" customWidth="1"/>
    <col min="4" max="4" width="16.28515625" style="11" bestFit="1" customWidth="1"/>
    <col min="5" max="17" width="9.140625" style="10" customWidth="1"/>
    <col min="18" max="16384" width="9.140625" style="10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>
      <c r="B9" s="4" t="s">
        <v>67</v>
      </c>
      <c r="C9" t="s">
        <v>66</v>
      </c>
      <c r="D9" t="s">
        <v>65</v>
      </c>
    </row>
    <row r="10" spans="2:4" x14ac:dyDescent="0.25">
      <c r="B10" s="5" t="s">
        <v>26</v>
      </c>
      <c r="C10" s="7">
        <v>74700</v>
      </c>
      <c r="D10" s="8">
        <v>62</v>
      </c>
    </row>
    <row r="11" spans="2:4" x14ac:dyDescent="0.25">
      <c r="B11" s="6" t="s">
        <v>14</v>
      </c>
      <c r="C11" s="7">
        <v>29600</v>
      </c>
      <c r="D11" s="8">
        <v>27</v>
      </c>
    </row>
    <row r="12" spans="2:4" x14ac:dyDescent="0.25">
      <c r="B12" s="6" t="s">
        <v>30</v>
      </c>
      <c r="C12" s="7">
        <v>21000</v>
      </c>
      <c r="D12" s="8">
        <v>8</v>
      </c>
    </row>
    <row r="13" spans="2:4" x14ac:dyDescent="0.25">
      <c r="B13" s="6" t="s">
        <v>23</v>
      </c>
      <c r="C13" s="7">
        <v>3600</v>
      </c>
      <c r="D13" s="8">
        <v>13</v>
      </c>
    </row>
    <row r="14" spans="2:4" x14ac:dyDescent="0.25">
      <c r="B14" s="6" t="s">
        <v>19</v>
      </c>
      <c r="C14" s="7">
        <v>11400</v>
      </c>
      <c r="D14" s="8">
        <v>9</v>
      </c>
    </row>
    <row r="15" spans="2:4" x14ac:dyDescent="0.25">
      <c r="B15" s="6" t="s">
        <v>27</v>
      </c>
      <c r="C15" s="7">
        <v>9100</v>
      </c>
      <c r="D15" s="8">
        <v>5</v>
      </c>
    </row>
    <row r="16" spans="2:4" x14ac:dyDescent="0.25">
      <c r="B16" s="5" t="s">
        <v>13</v>
      </c>
      <c r="C16" s="7">
        <v>64400</v>
      </c>
      <c r="D16" s="8">
        <v>69</v>
      </c>
    </row>
    <row r="17" spans="2:4" x14ac:dyDescent="0.25">
      <c r="B17" s="6" t="s">
        <v>14</v>
      </c>
      <c r="C17" s="7">
        <v>37500</v>
      </c>
      <c r="D17" s="8">
        <v>33</v>
      </c>
    </row>
    <row r="18" spans="2:4" x14ac:dyDescent="0.25">
      <c r="B18" s="6" t="s">
        <v>23</v>
      </c>
      <c r="C18" s="7">
        <v>3600</v>
      </c>
      <c r="D18" s="8">
        <v>19</v>
      </c>
    </row>
    <row r="19" spans="2:4" x14ac:dyDescent="0.25">
      <c r="B19" s="6" t="s">
        <v>19</v>
      </c>
      <c r="C19" s="7">
        <v>13800</v>
      </c>
      <c r="D19" s="8">
        <v>9</v>
      </c>
    </row>
    <row r="20" spans="2:4" x14ac:dyDescent="0.25">
      <c r="B20" s="6" t="s">
        <v>27</v>
      </c>
      <c r="C20" s="7">
        <v>9500</v>
      </c>
      <c r="D20" s="8">
        <v>8</v>
      </c>
    </row>
    <row r="21" spans="2:4" x14ac:dyDescent="0.25">
      <c r="B21" s="5" t="s">
        <v>18</v>
      </c>
      <c r="C21" s="7">
        <v>43200</v>
      </c>
      <c r="D21" s="8">
        <v>32</v>
      </c>
    </row>
    <row r="22" spans="2:4" x14ac:dyDescent="0.25">
      <c r="B22" s="6" t="s">
        <v>14</v>
      </c>
      <c r="C22" s="7">
        <v>31200</v>
      </c>
      <c r="D22" s="8">
        <v>25</v>
      </c>
    </row>
    <row r="23" spans="2:4" x14ac:dyDescent="0.25">
      <c r="B23" s="6" t="s">
        <v>19</v>
      </c>
      <c r="C23" s="7">
        <v>12000</v>
      </c>
      <c r="D23" s="8">
        <v>7</v>
      </c>
    </row>
    <row r="24" spans="2:4" x14ac:dyDescent="0.25">
      <c r="B24" s="5" t="s">
        <v>22</v>
      </c>
      <c r="C24" s="7">
        <v>50400</v>
      </c>
      <c r="D24" s="8">
        <v>55</v>
      </c>
    </row>
    <row r="25" spans="2:4" x14ac:dyDescent="0.25">
      <c r="B25" s="6" t="s">
        <v>14</v>
      </c>
      <c r="C25" s="7">
        <v>15200</v>
      </c>
      <c r="D25" s="8">
        <v>15</v>
      </c>
    </row>
    <row r="26" spans="2:4" x14ac:dyDescent="0.25">
      <c r="B26" s="6" t="s">
        <v>23</v>
      </c>
      <c r="C26" s="7">
        <v>3600</v>
      </c>
      <c r="D26" s="8">
        <v>16</v>
      </c>
    </row>
    <row r="27" spans="2:4" x14ac:dyDescent="0.25">
      <c r="B27" s="6" t="s">
        <v>19</v>
      </c>
      <c r="C27" s="7">
        <v>13100</v>
      </c>
      <c r="D27" s="8">
        <v>7</v>
      </c>
    </row>
    <row r="28" spans="2:4" x14ac:dyDescent="0.25">
      <c r="B28" s="6" t="s">
        <v>27</v>
      </c>
      <c r="C28" s="7">
        <v>18500</v>
      </c>
      <c r="D28" s="8">
        <v>17</v>
      </c>
    </row>
    <row r="29" spans="2:4" x14ac:dyDescent="0.25">
      <c r="B29" s="5" t="s">
        <v>57</v>
      </c>
      <c r="C29" s="7">
        <v>232700</v>
      </c>
      <c r="D29" s="8">
        <v>218</v>
      </c>
    </row>
    <row r="30" spans="2:4" x14ac:dyDescent="0.25"/>
    <row r="31" spans="2:4" x14ac:dyDescent="0.2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 de Dados</vt:lpstr>
      <vt:lpstr>Tabela Dinâmica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Karen Luiza Marques</cp:lastModifiedBy>
  <dcterms:created xsi:type="dcterms:W3CDTF">2024-04-05T16:27:10Z</dcterms:created>
  <dcterms:modified xsi:type="dcterms:W3CDTF">2026-02-02T17:29:55Z</dcterms:modified>
</cp:coreProperties>
</file>
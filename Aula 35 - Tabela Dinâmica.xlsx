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7FC6F345-19C1-454A-8534-91F787D5A9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 dinâmica" sheetId="2" r:id="rId1"/>
    <sheet name="Tabela" sheetId="1" r:id="rId2"/>
  </sheets>
  <definedNames>
    <definedName name="NativeTimeline_Data">#N/A</definedName>
    <definedName name="SegmentaçãodeDados_Nome">#N/A</definedName>
    <definedName name="Z_B2DFF69B_285A_4741_8E27_3A7A4E64AD56_.wvu.FilterData" localSheetId="1" hidden="1">Tabela!$A$1:$E$26</definedName>
  </definedNames>
  <calcPr calcId="0"/>
  <customWorkbookViews>
    <customWorkbookView name="Filtro 1" guid="{B2DFF69B-285A-4741-8E27-3A7A4E64AD56}" maximized="1" windowWidth="0" windowHeight="0" activeSheetId="0"/>
  </customWorkbookViews>
  <pivotCaches>
    <pivotCache cacheId="13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<sst xmlns="http://schemas.openxmlformats.org/spreadsheetml/2006/main" count="128" uniqueCount="53">
  <si>
    <t>Nome</t>
  </si>
  <si>
    <t>Função</t>
  </si>
  <si>
    <t>Salário</t>
  </si>
  <si>
    <t>Área</t>
  </si>
  <si>
    <t>Status</t>
  </si>
  <si>
    <t>Rafael</t>
  </si>
  <si>
    <t>Gerente</t>
  </si>
  <si>
    <t>Comercial</t>
  </si>
  <si>
    <t>Meta Batida</t>
  </si>
  <si>
    <t>José</t>
  </si>
  <si>
    <t>Assistente</t>
  </si>
  <si>
    <t>RH</t>
  </si>
  <si>
    <t>Sem Meta</t>
  </si>
  <si>
    <t>Joana</t>
  </si>
  <si>
    <t>Contador</t>
  </si>
  <si>
    <t>Contabilidade</t>
  </si>
  <si>
    <t>Talita</t>
  </si>
  <si>
    <t>Diretor</t>
  </si>
  <si>
    <t>Diretoria</t>
  </si>
  <si>
    <t>Bruna</t>
  </si>
  <si>
    <t>Auxiliar Administrativo</t>
  </si>
  <si>
    <t>Rodrigo</t>
  </si>
  <si>
    <t>Vendedor</t>
  </si>
  <si>
    <t>Vendas</t>
  </si>
  <si>
    <t>Josefá</t>
  </si>
  <si>
    <t>Fiscal de Loja</t>
  </si>
  <si>
    <t>Proteção</t>
  </si>
  <si>
    <t>Alessandra</t>
  </si>
  <si>
    <t>Douglas</t>
  </si>
  <si>
    <t>Thiago</t>
  </si>
  <si>
    <t>Rogério</t>
  </si>
  <si>
    <t>Rayane</t>
  </si>
  <si>
    <t>Valentina</t>
  </si>
  <si>
    <t>Dandara</t>
  </si>
  <si>
    <t>Enzo</t>
  </si>
  <si>
    <t>Cleber</t>
  </si>
  <si>
    <t>Edgar</t>
  </si>
  <si>
    <t>Bruno</t>
  </si>
  <si>
    <t>Vinicius</t>
  </si>
  <si>
    <t>Angela</t>
  </si>
  <si>
    <t>Publicidade</t>
  </si>
  <si>
    <t>Jessica</t>
  </si>
  <si>
    <t>Isaac</t>
  </si>
  <si>
    <t>Guilherme</t>
  </si>
  <si>
    <t>Luan</t>
  </si>
  <si>
    <t>Vitor</t>
  </si>
  <si>
    <t>Total Geral</t>
  </si>
  <si>
    <t>Áreas e Funções</t>
  </si>
  <si>
    <t>Quantidade</t>
  </si>
  <si>
    <t>% Salário</t>
  </si>
  <si>
    <t>Total Salário</t>
  </si>
  <si>
    <t>(Tudo)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</si>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</sst>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name val="Calibri"/>
      <family val="2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44" fontId="1" fillId="0" borderId="1" xfId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4" fontId="1" fillId="0" borderId="8" xfId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0" borderId="0" xfId="0" applyNumberFormat="1"/>
    <xf numFmtId="10" fontId="0" fillId="0" borderId="0" xfId="0" applyNumberFormat="1"/>
    <xf numFmtId="0" fontId="4" fillId="0" borderId="10" xfId="0" applyFont="1" applyBorder="1" applyAlignment="1">
      <alignment horizontal="center" vertical="center"/>
    </xf>
    <xf numFmtId="14" fontId="0" fillId="0" borderId="10" xfId="0" applyNumberFormat="1" applyBorder="1"/>
  </cellXfs>
  <cellStyles count="2">
    <cellStyle name="Moeda" xfId="1" builtinId="4"/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35 - Tabela Dinâmica.xlsx]Tabela dinâmica!Tabela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'Tabela dinâmica'!$A$4:$A$19</c:f>
              <c:multiLvlStrCache>
                <c:ptCount val="9"/>
                <c:lvl>
                  <c:pt idx="0">
                    <c:v>Gerente</c:v>
                  </c:pt>
                  <c:pt idx="1">
                    <c:v>Auxiliar Administrativo</c:v>
                  </c:pt>
                  <c:pt idx="2">
                    <c:v>Contador</c:v>
                  </c:pt>
                  <c:pt idx="3">
                    <c:v>Diretor</c:v>
                  </c:pt>
                  <c:pt idx="5">
                    <c:v>Fiscal de Loja</c:v>
                  </c:pt>
                  <c:pt idx="6">
                    <c:v>Assistente</c:v>
                  </c:pt>
                  <c:pt idx="7">
                    <c:v>Publicidade</c:v>
                  </c:pt>
                  <c:pt idx="8">
                    <c:v>Vendedor</c:v>
                  </c:pt>
                </c:lvl>
                <c:lvl>
                  <c:pt idx="0">
                    <c:v>Comercial</c:v>
                  </c:pt>
                  <c:pt idx="1">
                    <c:v>Contabilidade</c:v>
                  </c:pt>
                  <c:pt idx="3">
                    <c:v>Diretoria</c:v>
                  </c:pt>
                  <c:pt idx="4">
                    <c:v>Gerente</c:v>
                  </c:pt>
                  <c:pt idx="5">
                    <c:v>Proteção</c:v>
                  </c:pt>
                  <c:pt idx="6">
                    <c:v>RH</c:v>
                  </c:pt>
                  <c:pt idx="7">
                    <c:v>Vendas</c:v>
                  </c:pt>
                </c:lvl>
              </c:multiLvlStrCache>
            </c:multiLvlStrRef>
          </c:cat>
          <c:val>
            <c:numRef>
              <c:f>'Tabela dinâmica'!$B$4:$B$19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F-49A1-9DE0-684329B1EBF3}"/>
            </c:ext>
          </c:extLst>
        </c:ser>
        <c:ser>
          <c:idx val="1"/>
          <c:order val="1"/>
          <c:tx>
            <c:strRef>
              <c:f>'Tabela dinâmica'!$C$3</c:f>
              <c:strCache>
                <c:ptCount val="1"/>
                <c:pt idx="0">
                  <c:v>% Salário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'Tabela dinâmica'!$A$4:$A$19</c:f>
              <c:multiLvlStrCache>
                <c:ptCount val="9"/>
                <c:lvl>
                  <c:pt idx="0">
                    <c:v>Gerente</c:v>
                  </c:pt>
                  <c:pt idx="1">
                    <c:v>Auxiliar Administrativo</c:v>
                  </c:pt>
                  <c:pt idx="2">
                    <c:v>Contador</c:v>
                  </c:pt>
                  <c:pt idx="3">
                    <c:v>Diretor</c:v>
                  </c:pt>
                  <c:pt idx="5">
                    <c:v>Fiscal de Loja</c:v>
                  </c:pt>
                  <c:pt idx="6">
                    <c:v>Assistente</c:v>
                  </c:pt>
                  <c:pt idx="7">
                    <c:v>Publicidade</c:v>
                  </c:pt>
                  <c:pt idx="8">
                    <c:v>Vendedor</c:v>
                  </c:pt>
                </c:lvl>
                <c:lvl>
                  <c:pt idx="0">
                    <c:v>Comercial</c:v>
                  </c:pt>
                  <c:pt idx="1">
                    <c:v>Contabilidade</c:v>
                  </c:pt>
                  <c:pt idx="3">
                    <c:v>Diretoria</c:v>
                  </c:pt>
                  <c:pt idx="4">
                    <c:v>Gerente</c:v>
                  </c:pt>
                  <c:pt idx="5">
                    <c:v>Proteção</c:v>
                  </c:pt>
                  <c:pt idx="6">
                    <c:v>RH</c:v>
                  </c:pt>
                  <c:pt idx="7">
                    <c:v>Vendas</c:v>
                  </c:pt>
                </c:lvl>
              </c:multiLvlStrCache>
            </c:multiLvlStrRef>
          </c:cat>
          <c:val>
            <c:numRef>
              <c:f>'Tabela dinâmica'!$C$4:$C$19</c:f>
              <c:numCache>
                <c:formatCode>0.00%</c:formatCode>
                <c:ptCount val="9"/>
                <c:pt idx="0">
                  <c:v>0.16022099447513813</c:v>
                </c:pt>
                <c:pt idx="1">
                  <c:v>4.9723756906077346E-2</c:v>
                </c:pt>
                <c:pt idx="2">
                  <c:v>3.0386740331491711E-2</c:v>
                </c:pt>
                <c:pt idx="3">
                  <c:v>0.27209944751381215</c:v>
                </c:pt>
                <c:pt idx="4">
                  <c:v>8.9779005524861885E-2</c:v>
                </c:pt>
                <c:pt idx="5">
                  <c:v>5.8011049723756904E-2</c:v>
                </c:pt>
                <c:pt idx="6">
                  <c:v>7.4585635359116026E-2</c:v>
                </c:pt>
                <c:pt idx="7">
                  <c:v>5.5248618784530384E-2</c:v>
                </c:pt>
                <c:pt idx="8">
                  <c:v>0.20994475138121546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F-49A1-9DE0-684329B1EBF3}"/>
            </c:ext>
          </c:extLst>
        </c:ser>
        <c:ser>
          <c:idx val="2"/>
          <c:order val="2"/>
          <c:tx>
            <c:strRef>
              <c:f>'Tabela dinâmica'!$D$3</c:f>
              <c:strCache>
                <c:ptCount val="1"/>
                <c:pt idx="0">
                  <c:v>Total Salário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'Tabela dinâmica'!$A$4:$A$19</c:f>
              <c:multiLvlStrCache>
                <c:ptCount val="9"/>
                <c:lvl>
                  <c:pt idx="0">
                    <c:v>Gerente</c:v>
                  </c:pt>
                  <c:pt idx="1">
                    <c:v>Auxiliar Administrativo</c:v>
                  </c:pt>
                  <c:pt idx="2">
                    <c:v>Contador</c:v>
                  </c:pt>
                  <c:pt idx="3">
                    <c:v>Diretor</c:v>
                  </c:pt>
                  <c:pt idx="5">
                    <c:v>Fiscal de Loja</c:v>
                  </c:pt>
                  <c:pt idx="6">
                    <c:v>Assistente</c:v>
                  </c:pt>
                  <c:pt idx="7">
                    <c:v>Publicidade</c:v>
                  </c:pt>
                  <c:pt idx="8">
                    <c:v>Vendedor</c:v>
                  </c:pt>
                </c:lvl>
                <c:lvl>
                  <c:pt idx="0">
                    <c:v>Comercial</c:v>
                  </c:pt>
                  <c:pt idx="1">
                    <c:v>Contabilidade</c:v>
                  </c:pt>
                  <c:pt idx="3">
                    <c:v>Diretoria</c:v>
                  </c:pt>
                  <c:pt idx="4">
                    <c:v>Gerente</c:v>
                  </c:pt>
                  <c:pt idx="5">
                    <c:v>Proteção</c:v>
                  </c:pt>
                  <c:pt idx="6">
                    <c:v>RH</c:v>
                  </c:pt>
                  <c:pt idx="7">
                    <c:v>Vendas</c:v>
                  </c:pt>
                </c:lvl>
              </c:multiLvlStrCache>
            </c:multiLvlStrRef>
          </c:cat>
          <c:val>
            <c:numRef>
              <c:f>'Tabela dinâmica'!$D$4:$D$19</c:f>
              <c:numCache>
                <c:formatCode>_("R$"* #,##0.00_);_("R$"* \(#,##0.00\);_("R$"* "-"??_);_(@_)</c:formatCode>
                <c:ptCount val="9"/>
                <c:pt idx="0">
                  <c:v>11600</c:v>
                </c:pt>
                <c:pt idx="1">
                  <c:v>3600</c:v>
                </c:pt>
                <c:pt idx="2">
                  <c:v>2200</c:v>
                </c:pt>
                <c:pt idx="3">
                  <c:v>19700</c:v>
                </c:pt>
                <c:pt idx="4">
                  <c:v>6500</c:v>
                </c:pt>
                <c:pt idx="5">
                  <c:v>4200</c:v>
                </c:pt>
                <c:pt idx="6">
                  <c:v>5400</c:v>
                </c:pt>
                <c:pt idx="7">
                  <c:v>4000</c:v>
                </c:pt>
                <c:pt idx="8">
                  <c:v>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F-49A1-9DE0-684329B1E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5086672"/>
        <c:axId val="2075086192"/>
      </c:barChart>
      <c:catAx>
        <c:axId val="207508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086192"/>
        <c:crosses val="autoZero"/>
        <c:auto val="1"/>
        <c:lblAlgn val="ctr"/>
        <c:lblOffset val="100"/>
        <c:noMultiLvlLbl val="0"/>
      </c:catAx>
      <c:valAx>
        <c:axId val="207508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08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20</xdr:row>
      <xdr:rowOff>38100</xdr:rowOff>
    </xdr:from>
    <xdr:to>
      <xdr:col>3</xdr:col>
      <xdr:colOff>133350</xdr:colOff>
      <xdr:row>37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Nome">
              <a:extLst>
                <a:ext uri="{FF2B5EF4-FFF2-40B4-BE49-F238E27FC236}">
                  <a16:creationId xmlns:a16="http://schemas.microsoft.com/office/drawing/2014/main" id="{46FA8124-E41F-C5F1-AD98-7E8FDDE9B7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3276600"/>
              <a:ext cx="2990850" cy="2800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685799</xdr:colOff>
      <xdr:row>24</xdr:row>
      <xdr:rowOff>47625</xdr:rowOff>
    </xdr:from>
    <xdr:to>
      <xdr:col>12</xdr:col>
      <xdr:colOff>47625</xdr:colOff>
      <xdr:row>33</xdr:row>
      <xdr:rowOff>104775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a">
              <a:extLst>
                <a:ext uri="{FF2B5EF4-FFF2-40B4-BE49-F238E27FC236}">
                  <a16:creationId xmlns:a16="http://schemas.microsoft.com/office/drawing/2014/main" id="{0167D61B-CBC1-B6A7-2927-38AF4FD3EC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05224" y="3933825"/>
              <a:ext cx="5124451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4</xdr:col>
      <xdr:colOff>400049</xdr:colOff>
      <xdr:row>1</xdr:row>
      <xdr:rowOff>66675</xdr:rowOff>
    </xdr:from>
    <xdr:to>
      <xdr:col>16</xdr:col>
      <xdr:colOff>152400</xdr:colOff>
      <xdr:row>20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E05C28-7507-22AF-C2BD-8963EA2CF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n Luiza Marques" refreshedDate="46052.52985983796" createdVersion="8" refreshedVersion="8" minRefreshableVersion="3" recordCount="25" xr:uid="{6AD78CB4-687D-4BF0-A4E4-84A678B94390}">
  <cacheSource type="worksheet">
    <worksheetSource name="Tabela1"/>
  </cacheSource>
  <cacheFields count="6">
    <cacheField name="Nome" numFmtId="0">
      <sharedItems count="25">
        <s v="Rafael"/>
        <s v="José"/>
        <s v="Joana"/>
        <s v="Talita"/>
        <s v="Bruna"/>
        <s v="Rodrigo"/>
        <s v="Josefá"/>
        <s v="Alessandra"/>
        <s v="Douglas"/>
        <s v="Thiago"/>
        <s v="Rogério"/>
        <s v="Rayane"/>
        <s v="Valentina"/>
        <s v="Dandara"/>
        <s v="Enzo"/>
        <s v="Cleber"/>
        <s v="Edgar"/>
        <s v="Bruno"/>
        <s v="Vinicius"/>
        <s v="Angela"/>
        <s v="Jessica"/>
        <s v="Isaac"/>
        <s v="Guilherme"/>
        <s v="Luan"/>
        <s v="Vitor"/>
      </sharedItems>
    </cacheField>
    <cacheField name="Função" numFmtId="0">
      <sharedItems count="8">
        <s v="Gerente"/>
        <s v="Assistente"/>
        <s v="Contador"/>
        <s v="Diretor"/>
        <s v="Auxiliar Administrativo"/>
        <s v="Vendedor"/>
        <s v="Fiscal de Loja"/>
        <s v="Publicidade"/>
      </sharedItems>
    </cacheField>
    <cacheField name="Salário" numFmtId="44">
      <sharedItems containsSemiMixedTypes="0" containsString="0" containsNumber="1" containsInteger="1" minValue="800" maxValue="9900"/>
    </cacheField>
    <cacheField name="Área" numFmtId="0">
      <sharedItems count="7">
        <s v="Comercial"/>
        <s v="RH"/>
        <s v="Contabilidade"/>
        <s v="Diretoria"/>
        <s v="Vendas"/>
        <s v="Proteção"/>
        <s v="Gerente"/>
      </sharedItems>
    </cacheField>
    <cacheField name="Status" numFmtId="0">
      <sharedItems count="2">
        <s v="Meta Batida"/>
        <s v="Sem Meta"/>
      </sharedItems>
    </cacheField>
    <cacheField name="Data" numFmtId="14">
      <sharedItems containsSemiMixedTypes="0" containsNonDate="0" containsDate="1" containsString="0" minDate="2025-01-05T00:00:00" maxDate="2025-05-30T00:00:00" count="25"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2-12T00:00:00"/>
        <d v="2025-02-13T00:00:00"/>
        <d v="2025-02-14T00:00:00"/>
        <d v="2025-02-15T00:00:00"/>
        <d v="2025-02-16T00:00:00"/>
        <d v="2025-02-17T00:00:00"/>
        <d v="2025-03-15T00:00:00"/>
        <d v="2025-03-16T00:00:00"/>
        <d v="2025-03-17T00:00:00"/>
        <d v="2025-03-18T00:00:00"/>
        <d v="2025-03-19T00:00:00"/>
        <d v="2025-04-20T00:00:00"/>
        <d v="2025-04-21T00:00:00"/>
        <d v="2025-04-22T00:00:00"/>
        <d v="2025-04-23T00:00:00"/>
        <d v="2025-04-24T00:00:00"/>
        <d v="2025-05-28T00:00:00"/>
        <d v="2025-05-29T00:00:00"/>
      </sharedItems>
    </cacheField>
  </cacheFields>
  <extLst>
    <ext xmlns:x14="http://schemas.microsoft.com/office/spreadsheetml/2009/9/main" uri="{725AE2AE-9491-48be-B2B4-4EB974FC3084}">
      <x14:pivotCacheDefinition pivotCacheId="15269055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5600"/>
    <x v="0"/>
    <x v="0"/>
    <x v="0"/>
  </r>
  <r>
    <x v="1"/>
    <x v="1"/>
    <n v="1200"/>
    <x v="1"/>
    <x v="1"/>
    <x v="1"/>
  </r>
  <r>
    <x v="2"/>
    <x v="2"/>
    <n v="2200"/>
    <x v="2"/>
    <x v="0"/>
    <x v="2"/>
  </r>
  <r>
    <x v="3"/>
    <x v="3"/>
    <n v="9800"/>
    <x v="3"/>
    <x v="0"/>
    <x v="3"/>
  </r>
  <r>
    <x v="4"/>
    <x v="4"/>
    <n v="1800"/>
    <x v="2"/>
    <x v="1"/>
    <x v="4"/>
  </r>
  <r>
    <x v="5"/>
    <x v="5"/>
    <n v="2500"/>
    <x v="4"/>
    <x v="0"/>
    <x v="5"/>
  </r>
  <r>
    <x v="6"/>
    <x v="6"/>
    <n v="900"/>
    <x v="5"/>
    <x v="0"/>
    <x v="6"/>
  </r>
  <r>
    <x v="7"/>
    <x v="1"/>
    <n v="800"/>
    <x v="1"/>
    <x v="1"/>
    <x v="7"/>
  </r>
  <r>
    <x v="8"/>
    <x v="5"/>
    <n v="3000"/>
    <x v="4"/>
    <x v="1"/>
    <x v="8"/>
  </r>
  <r>
    <x v="9"/>
    <x v="0"/>
    <n v="6500"/>
    <x v="6"/>
    <x v="1"/>
    <x v="9"/>
  </r>
  <r>
    <x v="10"/>
    <x v="1"/>
    <n v="1300"/>
    <x v="1"/>
    <x v="1"/>
    <x v="10"/>
  </r>
  <r>
    <x v="11"/>
    <x v="6"/>
    <n v="1000"/>
    <x v="5"/>
    <x v="0"/>
    <x v="11"/>
  </r>
  <r>
    <x v="12"/>
    <x v="3"/>
    <n v="9900"/>
    <x v="3"/>
    <x v="1"/>
    <x v="12"/>
  </r>
  <r>
    <x v="13"/>
    <x v="5"/>
    <n v="2600"/>
    <x v="4"/>
    <x v="1"/>
    <x v="13"/>
  </r>
  <r>
    <x v="14"/>
    <x v="0"/>
    <n v="6000"/>
    <x v="0"/>
    <x v="0"/>
    <x v="14"/>
  </r>
  <r>
    <x v="15"/>
    <x v="1"/>
    <n v="1300"/>
    <x v="1"/>
    <x v="0"/>
    <x v="15"/>
  </r>
  <r>
    <x v="16"/>
    <x v="5"/>
    <n v="2800"/>
    <x v="4"/>
    <x v="1"/>
    <x v="16"/>
  </r>
  <r>
    <x v="17"/>
    <x v="4"/>
    <n v="1800"/>
    <x v="2"/>
    <x v="1"/>
    <x v="17"/>
  </r>
  <r>
    <x v="18"/>
    <x v="6"/>
    <n v="1100"/>
    <x v="5"/>
    <x v="1"/>
    <x v="18"/>
  </r>
  <r>
    <x v="19"/>
    <x v="7"/>
    <n v="1900"/>
    <x v="4"/>
    <x v="0"/>
    <x v="19"/>
  </r>
  <r>
    <x v="20"/>
    <x v="5"/>
    <n v="2300"/>
    <x v="4"/>
    <x v="1"/>
    <x v="20"/>
  </r>
  <r>
    <x v="21"/>
    <x v="1"/>
    <n v="800"/>
    <x v="1"/>
    <x v="1"/>
    <x v="21"/>
  </r>
  <r>
    <x v="22"/>
    <x v="7"/>
    <n v="2100"/>
    <x v="4"/>
    <x v="1"/>
    <x v="22"/>
  </r>
  <r>
    <x v="23"/>
    <x v="6"/>
    <n v="1200"/>
    <x v="5"/>
    <x v="0"/>
    <x v="23"/>
  </r>
  <r>
    <x v="24"/>
    <x v="5"/>
    <n v="2000"/>
    <x v="4"/>
    <x v="0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49B38-37A5-4C0B-81A0-067F73FC9766}" name="Tabela dinâmica1" cacheId="1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 rowHeaderCaption="Áreas e Funções">
  <location ref="A3:D19" firstHeaderRow="0" firstDataRow="1" firstDataCol="1" rowPageCount="1" colPageCount="1"/>
  <pivotFields count="6">
    <pivotField showAll="0">
      <items count="26">
        <item x="7"/>
        <item x="19"/>
        <item x="4"/>
        <item x="17"/>
        <item x="15"/>
        <item x="13"/>
        <item x="8"/>
        <item x="16"/>
        <item x="14"/>
        <item x="22"/>
        <item x="21"/>
        <item x="20"/>
        <item x="2"/>
        <item x="1"/>
        <item x="6"/>
        <item x="23"/>
        <item x="0"/>
        <item x="11"/>
        <item x="5"/>
        <item x="10"/>
        <item x="3"/>
        <item x="9"/>
        <item x="12"/>
        <item x="18"/>
        <item x="24"/>
        <item t="default"/>
      </items>
    </pivotField>
    <pivotField axis="axisRow" showAll="0">
      <items count="9">
        <item x="1"/>
        <item x="4"/>
        <item x="2"/>
        <item x="3"/>
        <item x="6"/>
        <item x="0"/>
        <item x="7"/>
        <item x="5"/>
        <item t="default"/>
      </items>
    </pivotField>
    <pivotField dataField="1" numFmtId="44" showAll="0"/>
    <pivotField axis="axisRow" showAll="0">
      <items count="8">
        <item x="0"/>
        <item x="2"/>
        <item x="3"/>
        <item sd="0" x="6"/>
        <item x="5"/>
        <item x="1"/>
        <item x="4"/>
        <item t="default"/>
      </items>
    </pivotField>
    <pivotField axis="axisPage" showAll="0">
      <items count="3">
        <item x="0"/>
        <item x="1"/>
        <item t="default"/>
      </items>
    </pivotField>
    <pivotField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 count="2">
    <field x="3"/>
    <field x="1"/>
  </rowFields>
  <rowItems count="16">
    <i>
      <x/>
    </i>
    <i r="1">
      <x v="5"/>
    </i>
    <i>
      <x v="1"/>
    </i>
    <i r="1">
      <x v="1"/>
    </i>
    <i r="1">
      <x v="2"/>
    </i>
    <i>
      <x v="2"/>
    </i>
    <i r="1">
      <x v="3"/>
    </i>
    <i>
      <x v="3"/>
    </i>
    <i>
      <x v="4"/>
    </i>
    <i r="1">
      <x v="4"/>
    </i>
    <i>
      <x v="5"/>
    </i>
    <i r="1">
      <x/>
    </i>
    <i>
      <x v="6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Quantidade" fld="2" subtotal="count" baseField="0" baseItem="0"/>
    <dataField name="% Salário" fld="2" showDataAs="percentOfTotal" baseField="0" baseItem="0" numFmtId="10"/>
    <dataField name="Total Salário" fld="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" xr10:uid="{ABDBF78B-037F-44EF-8D75-545276426F01}" sourceName="Nome">
  <pivotTables>
    <pivotTable tabId="2" name="Tabela dinâmica1"/>
  </pivotTables>
  <data>
    <tabular pivotCacheId="1526905533">
      <items count="25">
        <i x="7" s="1"/>
        <i x="19" s="1"/>
        <i x="4" s="1"/>
        <i x="17" s="1"/>
        <i x="15" s="1"/>
        <i x="13" s="1"/>
        <i x="8" s="1"/>
        <i x="16" s="1"/>
        <i x="14" s="1"/>
        <i x="22" s="1"/>
        <i x="21" s="1"/>
        <i x="20" s="1"/>
        <i x="2" s="1"/>
        <i x="1" s="1"/>
        <i x="6" s="1"/>
        <i x="23" s="1"/>
        <i x="0" s="1"/>
        <i x="11" s="1"/>
        <i x="5" s="1"/>
        <i x="10" s="1"/>
        <i x="3" s="1"/>
        <i x="9" s="1"/>
        <i x="12" s="1"/>
        <i x="18" s="1"/>
        <i x="2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e" xr10:uid="{7CB74BF3-4F2D-43F9-94E0-90EE0DEBABE8}" cache="SegmentaçãodeDados_Nome" caption="Nome" columnCount="3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A6C80-DB22-4796-8499-9821514525C3}" name="Tabela1" displayName="Tabela1" ref="A1:F26" totalsRowShown="0" headerRowDxfId="1" headerRowBorderDxfId="8" tableBorderDxfId="9" totalsRowBorderDxfId="7">
  <autoFilter ref="A1:F26" xr:uid="{EF5A6C80-DB22-4796-8499-9821514525C3}"/>
  <tableColumns count="6">
    <tableColumn id="1" xr3:uid="{C6D54066-A028-4409-BC27-D17246C19B00}" name="Nome" dataDxfId="6"/>
    <tableColumn id="2" xr3:uid="{616CD8EE-71C3-4921-AE8B-B156CC8742A3}" name="Função" dataDxfId="5"/>
    <tableColumn id="3" xr3:uid="{90B00ECE-6653-4A75-BE8E-EA4B8505AF85}" name="Salário" dataDxfId="4" dataCellStyle="Moeda"/>
    <tableColumn id="4" xr3:uid="{900037D8-7099-4C62-8DE3-5981322E3823}" name="Área" dataDxfId="3"/>
    <tableColumn id="5" xr3:uid="{5134D822-A87A-4213-81D1-915ACA536D9B}" name="Status" dataDxfId="2"/>
    <tableColumn id="6" xr3:uid="{B4EE74E1-AE30-406D-AC15-171B21C9375D}" name="Da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0B1AF157-BDDD-46CE-A7A8-742EE975E218}" sourceName="Data">
  <pivotTables>
    <pivotTable tabId="2" name="Tabela dinâmica1"/>
  </pivotTables>
  <state minimalRefreshVersion="6" lastRefreshVersion="6" pivotCacheId="1526905533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A9E14085-E7CD-48D3-97DE-EC9EF2000B0B}" cache="NativeTimeline_Data" caption="Data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EA9E-89A8-4D0F-A559-BD7334C95E78}">
  <dimension ref="A1:D19"/>
  <sheetViews>
    <sheetView tabSelected="1" workbookViewId="0">
      <selection activeCell="R34" sqref="R34"/>
    </sheetView>
  </sheetViews>
  <sheetFormatPr defaultRowHeight="12.75" x14ac:dyDescent="0.2"/>
  <cols>
    <col min="1" max="1" width="24.140625" bestFit="1" customWidth="1"/>
    <col min="2" max="2" width="11.5703125" bestFit="1" customWidth="1"/>
    <col min="3" max="3" width="9.5703125" bestFit="1" customWidth="1"/>
    <col min="4" max="4" width="13.28515625" bestFit="1" customWidth="1"/>
  </cols>
  <sheetData>
    <row r="1" spans="1:4" x14ac:dyDescent="0.2">
      <c r="A1" s="12" t="s">
        <v>4</v>
      </c>
      <c r="B1" t="s">
        <v>51</v>
      </c>
    </row>
    <row r="3" spans="1:4" x14ac:dyDescent="0.2">
      <c r="A3" s="12" t="s">
        <v>47</v>
      </c>
      <c r="B3" t="s">
        <v>48</v>
      </c>
      <c r="C3" t="s">
        <v>49</v>
      </c>
      <c r="D3" t="s">
        <v>50</v>
      </c>
    </row>
    <row r="4" spans="1:4" x14ac:dyDescent="0.2">
      <c r="A4" s="13" t="s">
        <v>7</v>
      </c>
      <c r="B4" s="16">
        <v>2</v>
      </c>
      <c r="C4" s="17">
        <v>0.16022099447513813</v>
      </c>
      <c r="D4" s="15">
        <v>11600</v>
      </c>
    </row>
    <row r="5" spans="1:4" x14ac:dyDescent="0.2">
      <c r="A5" s="14" t="s">
        <v>6</v>
      </c>
      <c r="B5" s="16">
        <v>2</v>
      </c>
      <c r="C5" s="17">
        <v>0.16022099447513813</v>
      </c>
      <c r="D5" s="15">
        <v>11600</v>
      </c>
    </row>
    <row r="6" spans="1:4" x14ac:dyDescent="0.2">
      <c r="A6" s="13" t="s">
        <v>15</v>
      </c>
      <c r="B6" s="16">
        <v>3</v>
      </c>
      <c r="C6" s="17">
        <v>8.0110497237569064E-2</v>
      </c>
      <c r="D6" s="15">
        <v>5800</v>
      </c>
    </row>
    <row r="7" spans="1:4" x14ac:dyDescent="0.2">
      <c r="A7" s="14" t="s">
        <v>20</v>
      </c>
      <c r="B7" s="16">
        <v>2</v>
      </c>
      <c r="C7" s="17">
        <v>4.9723756906077346E-2</v>
      </c>
      <c r="D7" s="15">
        <v>3600</v>
      </c>
    </row>
    <row r="8" spans="1:4" x14ac:dyDescent="0.2">
      <c r="A8" s="14" t="s">
        <v>14</v>
      </c>
      <c r="B8" s="16">
        <v>1</v>
      </c>
      <c r="C8" s="17">
        <v>3.0386740331491711E-2</v>
      </c>
      <c r="D8" s="15">
        <v>2200</v>
      </c>
    </row>
    <row r="9" spans="1:4" x14ac:dyDescent="0.2">
      <c r="A9" s="13" t="s">
        <v>18</v>
      </c>
      <c r="B9" s="16">
        <v>2</v>
      </c>
      <c r="C9" s="17">
        <v>0.27209944751381215</v>
      </c>
      <c r="D9" s="15">
        <v>19700</v>
      </c>
    </row>
    <row r="10" spans="1:4" x14ac:dyDescent="0.2">
      <c r="A10" s="14" t="s">
        <v>17</v>
      </c>
      <c r="B10" s="16">
        <v>2</v>
      </c>
      <c r="C10" s="17">
        <v>0.27209944751381215</v>
      </c>
      <c r="D10" s="15">
        <v>19700</v>
      </c>
    </row>
    <row r="11" spans="1:4" x14ac:dyDescent="0.2">
      <c r="A11" s="13" t="s">
        <v>6</v>
      </c>
      <c r="B11" s="16">
        <v>1</v>
      </c>
      <c r="C11" s="17">
        <v>8.9779005524861885E-2</v>
      </c>
      <c r="D11" s="15">
        <v>6500</v>
      </c>
    </row>
    <row r="12" spans="1:4" x14ac:dyDescent="0.2">
      <c r="A12" s="13" t="s">
        <v>26</v>
      </c>
      <c r="B12" s="16">
        <v>4</v>
      </c>
      <c r="C12" s="17">
        <v>5.8011049723756904E-2</v>
      </c>
      <c r="D12" s="15">
        <v>4200</v>
      </c>
    </row>
    <row r="13" spans="1:4" x14ac:dyDescent="0.2">
      <c r="A13" s="14" t="s">
        <v>25</v>
      </c>
      <c r="B13" s="16">
        <v>4</v>
      </c>
      <c r="C13" s="17">
        <v>5.8011049723756904E-2</v>
      </c>
      <c r="D13" s="15">
        <v>4200</v>
      </c>
    </row>
    <row r="14" spans="1:4" x14ac:dyDescent="0.2">
      <c r="A14" s="13" t="s">
        <v>11</v>
      </c>
      <c r="B14" s="16">
        <v>5</v>
      </c>
      <c r="C14" s="17">
        <v>7.4585635359116026E-2</v>
      </c>
      <c r="D14" s="15">
        <v>5400</v>
      </c>
    </row>
    <row r="15" spans="1:4" x14ac:dyDescent="0.2">
      <c r="A15" s="14" t="s">
        <v>10</v>
      </c>
      <c r="B15" s="16">
        <v>5</v>
      </c>
      <c r="C15" s="17">
        <v>7.4585635359116026E-2</v>
      </c>
      <c r="D15" s="15">
        <v>5400</v>
      </c>
    </row>
    <row r="16" spans="1:4" x14ac:dyDescent="0.2">
      <c r="A16" s="13" t="s">
        <v>23</v>
      </c>
      <c r="B16" s="16">
        <v>8</v>
      </c>
      <c r="C16" s="17">
        <v>0.26519337016574585</v>
      </c>
      <c r="D16" s="15">
        <v>19200</v>
      </c>
    </row>
    <row r="17" spans="1:4" x14ac:dyDescent="0.2">
      <c r="A17" s="14" t="s">
        <v>40</v>
      </c>
      <c r="B17" s="16">
        <v>2</v>
      </c>
      <c r="C17" s="17">
        <v>5.5248618784530384E-2</v>
      </c>
      <c r="D17" s="15">
        <v>4000</v>
      </c>
    </row>
    <row r="18" spans="1:4" x14ac:dyDescent="0.2">
      <c r="A18" s="14" t="s">
        <v>22</v>
      </c>
      <c r="B18" s="16">
        <v>6</v>
      </c>
      <c r="C18" s="17">
        <v>0.20994475138121546</v>
      </c>
      <c r="D18" s="15">
        <v>15200</v>
      </c>
    </row>
    <row r="19" spans="1:4" x14ac:dyDescent="0.2">
      <c r="A19" s="13" t="s">
        <v>46</v>
      </c>
      <c r="B19" s="16">
        <v>25</v>
      </c>
      <c r="C19" s="17">
        <v>1</v>
      </c>
      <c r="D19" s="15">
        <v>72400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workbookViewId="0">
      <selection activeCell="G5" sqref="G5"/>
    </sheetView>
  </sheetViews>
  <sheetFormatPr defaultColWidth="12.7109375" defaultRowHeight="15.75" customHeight="1" x14ac:dyDescent="0.2"/>
  <cols>
    <col min="2" max="2" width="21" customWidth="1"/>
  </cols>
  <sheetData>
    <row r="1" spans="1:6" ht="15.75" customHeight="1" x14ac:dyDescent="0.2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8" t="s">
        <v>52</v>
      </c>
    </row>
    <row r="2" spans="1:6" ht="15.75" customHeight="1" x14ac:dyDescent="0.2">
      <c r="A2" s="3" t="s">
        <v>5</v>
      </c>
      <c r="B2" s="1" t="s">
        <v>6</v>
      </c>
      <c r="C2" s="2">
        <v>5600</v>
      </c>
      <c r="D2" s="1" t="s">
        <v>7</v>
      </c>
      <c r="E2" s="4" t="s">
        <v>8</v>
      </c>
      <c r="F2" s="19">
        <v>45662</v>
      </c>
    </row>
    <row r="3" spans="1:6" ht="15.75" customHeight="1" x14ac:dyDescent="0.2">
      <c r="A3" s="3" t="s">
        <v>9</v>
      </c>
      <c r="B3" s="1" t="s">
        <v>10</v>
      </c>
      <c r="C3" s="2">
        <v>1200</v>
      </c>
      <c r="D3" s="1" t="s">
        <v>11</v>
      </c>
      <c r="E3" s="4" t="s">
        <v>12</v>
      </c>
      <c r="F3" s="19">
        <v>45663</v>
      </c>
    </row>
    <row r="4" spans="1:6" ht="15.75" customHeight="1" x14ac:dyDescent="0.2">
      <c r="A4" s="3" t="s">
        <v>13</v>
      </c>
      <c r="B4" s="1" t="s">
        <v>14</v>
      </c>
      <c r="C4" s="2">
        <v>2200</v>
      </c>
      <c r="D4" s="1" t="s">
        <v>15</v>
      </c>
      <c r="E4" s="4" t="s">
        <v>8</v>
      </c>
      <c r="F4" s="19">
        <v>45664</v>
      </c>
    </row>
    <row r="5" spans="1:6" ht="15.75" customHeight="1" x14ac:dyDescent="0.2">
      <c r="A5" s="3" t="s">
        <v>16</v>
      </c>
      <c r="B5" s="1" t="s">
        <v>17</v>
      </c>
      <c r="C5" s="2">
        <v>9800</v>
      </c>
      <c r="D5" s="1" t="s">
        <v>18</v>
      </c>
      <c r="E5" s="4" t="s">
        <v>8</v>
      </c>
      <c r="F5" s="19">
        <v>45665</v>
      </c>
    </row>
    <row r="6" spans="1:6" ht="15.75" customHeight="1" x14ac:dyDescent="0.2">
      <c r="A6" s="3" t="s">
        <v>19</v>
      </c>
      <c r="B6" s="1" t="s">
        <v>20</v>
      </c>
      <c r="C6" s="2">
        <v>1800</v>
      </c>
      <c r="D6" s="1" t="s">
        <v>15</v>
      </c>
      <c r="E6" s="4" t="s">
        <v>12</v>
      </c>
      <c r="F6" s="19">
        <v>45666</v>
      </c>
    </row>
    <row r="7" spans="1:6" ht="15.75" customHeight="1" x14ac:dyDescent="0.2">
      <c r="A7" s="3" t="s">
        <v>21</v>
      </c>
      <c r="B7" s="1" t="s">
        <v>22</v>
      </c>
      <c r="C7" s="2">
        <v>2500</v>
      </c>
      <c r="D7" s="1" t="s">
        <v>23</v>
      </c>
      <c r="E7" s="4" t="s">
        <v>8</v>
      </c>
      <c r="F7" s="19">
        <v>45667</v>
      </c>
    </row>
    <row r="8" spans="1:6" ht="15.75" customHeight="1" x14ac:dyDescent="0.2">
      <c r="A8" s="3" t="s">
        <v>24</v>
      </c>
      <c r="B8" s="1" t="s">
        <v>25</v>
      </c>
      <c r="C8" s="2">
        <v>900</v>
      </c>
      <c r="D8" s="1" t="s">
        <v>26</v>
      </c>
      <c r="E8" s="4" t="s">
        <v>8</v>
      </c>
      <c r="F8" s="19">
        <v>45668</v>
      </c>
    </row>
    <row r="9" spans="1:6" ht="15.75" customHeight="1" x14ac:dyDescent="0.2">
      <c r="A9" s="3" t="s">
        <v>27</v>
      </c>
      <c r="B9" s="1" t="s">
        <v>10</v>
      </c>
      <c r="C9" s="2">
        <v>800</v>
      </c>
      <c r="D9" s="1" t="s">
        <v>11</v>
      </c>
      <c r="E9" s="4" t="s">
        <v>12</v>
      </c>
      <c r="F9" s="19">
        <v>45700</v>
      </c>
    </row>
    <row r="10" spans="1:6" ht="15.75" customHeight="1" x14ac:dyDescent="0.2">
      <c r="A10" s="3" t="s">
        <v>28</v>
      </c>
      <c r="B10" s="1" t="s">
        <v>22</v>
      </c>
      <c r="C10" s="2">
        <v>3000</v>
      </c>
      <c r="D10" s="1" t="s">
        <v>23</v>
      </c>
      <c r="E10" s="4" t="s">
        <v>12</v>
      </c>
      <c r="F10" s="19">
        <v>45701</v>
      </c>
    </row>
    <row r="11" spans="1:6" ht="15.75" customHeight="1" x14ac:dyDescent="0.2">
      <c r="A11" s="3" t="s">
        <v>29</v>
      </c>
      <c r="B11" s="1" t="s">
        <v>6</v>
      </c>
      <c r="C11" s="2">
        <v>6500</v>
      </c>
      <c r="D11" s="1" t="s">
        <v>6</v>
      </c>
      <c r="E11" s="4" t="s">
        <v>12</v>
      </c>
      <c r="F11" s="19">
        <v>45702</v>
      </c>
    </row>
    <row r="12" spans="1:6" ht="15.75" customHeight="1" x14ac:dyDescent="0.2">
      <c r="A12" s="3" t="s">
        <v>30</v>
      </c>
      <c r="B12" s="1" t="s">
        <v>10</v>
      </c>
      <c r="C12" s="2">
        <v>1300</v>
      </c>
      <c r="D12" s="1" t="s">
        <v>11</v>
      </c>
      <c r="E12" s="4" t="s">
        <v>12</v>
      </c>
      <c r="F12" s="19">
        <v>45703</v>
      </c>
    </row>
    <row r="13" spans="1:6" ht="15.75" customHeight="1" x14ac:dyDescent="0.2">
      <c r="A13" s="3" t="s">
        <v>31</v>
      </c>
      <c r="B13" s="1" t="s">
        <v>25</v>
      </c>
      <c r="C13" s="2">
        <v>1000</v>
      </c>
      <c r="D13" s="1" t="s">
        <v>26</v>
      </c>
      <c r="E13" s="4" t="s">
        <v>8</v>
      </c>
      <c r="F13" s="19">
        <v>45704</v>
      </c>
    </row>
    <row r="14" spans="1:6" ht="15.75" customHeight="1" x14ac:dyDescent="0.2">
      <c r="A14" s="3" t="s">
        <v>32</v>
      </c>
      <c r="B14" s="1" t="s">
        <v>17</v>
      </c>
      <c r="C14" s="2">
        <v>9900</v>
      </c>
      <c r="D14" s="1" t="s">
        <v>18</v>
      </c>
      <c r="E14" s="4" t="s">
        <v>12</v>
      </c>
      <c r="F14" s="19">
        <v>45705</v>
      </c>
    </row>
    <row r="15" spans="1:6" ht="15.75" customHeight="1" x14ac:dyDescent="0.2">
      <c r="A15" s="3" t="s">
        <v>33</v>
      </c>
      <c r="B15" s="1" t="s">
        <v>22</v>
      </c>
      <c r="C15" s="2">
        <v>2600</v>
      </c>
      <c r="D15" s="1" t="s">
        <v>23</v>
      </c>
      <c r="E15" s="4" t="s">
        <v>12</v>
      </c>
      <c r="F15" s="19">
        <v>45731</v>
      </c>
    </row>
    <row r="16" spans="1:6" ht="15.75" customHeight="1" x14ac:dyDescent="0.2">
      <c r="A16" s="3" t="s">
        <v>34</v>
      </c>
      <c r="B16" s="1" t="s">
        <v>6</v>
      </c>
      <c r="C16" s="2">
        <v>6000</v>
      </c>
      <c r="D16" s="1" t="s">
        <v>7</v>
      </c>
      <c r="E16" s="4" t="s">
        <v>8</v>
      </c>
      <c r="F16" s="19">
        <v>45732</v>
      </c>
    </row>
    <row r="17" spans="1:6" ht="15.75" customHeight="1" x14ac:dyDescent="0.2">
      <c r="A17" s="3" t="s">
        <v>35</v>
      </c>
      <c r="B17" s="1" t="s">
        <v>10</v>
      </c>
      <c r="C17" s="2">
        <v>1300</v>
      </c>
      <c r="D17" s="1" t="s">
        <v>11</v>
      </c>
      <c r="E17" s="4" t="s">
        <v>8</v>
      </c>
      <c r="F17" s="19">
        <v>45733</v>
      </c>
    </row>
    <row r="18" spans="1:6" ht="15.75" customHeight="1" x14ac:dyDescent="0.2">
      <c r="A18" s="3" t="s">
        <v>36</v>
      </c>
      <c r="B18" s="1" t="s">
        <v>22</v>
      </c>
      <c r="C18" s="2">
        <v>2800</v>
      </c>
      <c r="D18" s="1" t="s">
        <v>23</v>
      </c>
      <c r="E18" s="4" t="s">
        <v>12</v>
      </c>
      <c r="F18" s="19">
        <v>45734</v>
      </c>
    </row>
    <row r="19" spans="1:6" ht="15.75" customHeight="1" x14ac:dyDescent="0.2">
      <c r="A19" s="3" t="s">
        <v>37</v>
      </c>
      <c r="B19" s="1" t="s">
        <v>20</v>
      </c>
      <c r="C19" s="2">
        <v>1800</v>
      </c>
      <c r="D19" s="1" t="s">
        <v>15</v>
      </c>
      <c r="E19" s="4" t="s">
        <v>12</v>
      </c>
      <c r="F19" s="19">
        <v>45735</v>
      </c>
    </row>
    <row r="20" spans="1:6" ht="15.75" customHeight="1" x14ac:dyDescent="0.2">
      <c r="A20" s="3" t="s">
        <v>38</v>
      </c>
      <c r="B20" s="1" t="s">
        <v>25</v>
      </c>
      <c r="C20" s="2">
        <v>1100</v>
      </c>
      <c r="D20" s="1" t="s">
        <v>26</v>
      </c>
      <c r="E20" s="4" t="s">
        <v>12</v>
      </c>
      <c r="F20" s="19">
        <v>45767</v>
      </c>
    </row>
    <row r="21" spans="1:6" ht="15.75" customHeight="1" x14ac:dyDescent="0.2">
      <c r="A21" s="3" t="s">
        <v>39</v>
      </c>
      <c r="B21" s="1" t="s">
        <v>40</v>
      </c>
      <c r="C21" s="2">
        <v>1900</v>
      </c>
      <c r="D21" s="1" t="s">
        <v>23</v>
      </c>
      <c r="E21" s="4" t="s">
        <v>8</v>
      </c>
      <c r="F21" s="19">
        <v>45768</v>
      </c>
    </row>
    <row r="22" spans="1:6" ht="15.75" customHeight="1" x14ac:dyDescent="0.2">
      <c r="A22" s="3" t="s">
        <v>41</v>
      </c>
      <c r="B22" s="1" t="s">
        <v>22</v>
      </c>
      <c r="C22" s="2">
        <v>2300</v>
      </c>
      <c r="D22" s="1" t="s">
        <v>23</v>
      </c>
      <c r="E22" s="4" t="s">
        <v>12</v>
      </c>
      <c r="F22" s="19">
        <v>45769</v>
      </c>
    </row>
    <row r="23" spans="1:6" ht="15.75" customHeight="1" x14ac:dyDescent="0.2">
      <c r="A23" s="3" t="s">
        <v>42</v>
      </c>
      <c r="B23" s="1" t="s">
        <v>10</v>
      </c>
      <c r="C23" s="2">
        <v>800</v>
      </c>
      <c r="D23" s="1" t="s">
        <v>11</v>
      </c>
      <c r="E23" s="4" t="s">
        <v>12</v>
      </c>
      <c r="F23" s="19">
        <v>45770</v>
      </c>
    </row>
    <row r="24" spans="1:6" ht="15.75" customHeight="1" x14ac:dyDescent="0.2">
      <c r="A24" s="3" t="s">
        <v>43</v>
      </c>
      <c r="B24" s="1" t="s">
        <v>40</v>
      </c>
      <c r="C24" s="2">
        <v>2100</v>
      </c>
      <c r="D24" s="1" t="s">
        <v>23</v>
      </c>
      <c r="E24" s="4" t="s">
        <v>12</v>
      </c>
      <c r="F24" s="19">
        <v>45771</v>
      </c>
    </row>
    <row r="25" spans="1:6" ht="15.75" customHeight="1" x14ac:dyDescent="0.2">
      <c r="A25" s="3" t="s">
        <v>44</v>
      </c>
      <c r="B25" s="1" t="s">
        <v>25</v>
      </c>
      <c r="C25" s="2">
        <v>1200</v>
      </c>
      <c r="D25" s="1" t="s">
        <v>26</v>
      </c>
      <c r="E25" s="4" t="s">
        <v>8</v>
      </c>
      <c r="F25" s="19">
        <v>45805</v>
      </c>
    </row>
    <row r="26" spans="1:6" ht="15.75" customHeight="1" x14ac:dyDescent="0.2">
      <c r="A26" s="8" t="s">
        <v>45</v>
      </c>
      <c r="B26" s="9" t="s">
        <v>22</v>
      </c>
      <c r="C26" s="10">
        <v>2000</v>
      </c>
      <c r="D26" s="9" t="s">
        <v>23</v>
      </c>
      <c r="E26" s="11" t="s">
        <v>8</v>
      </c>
      <c r="F26" s="19">
        <v>45806</v>
      </c>
    </row>
  </sheetData>
  <customSheetViews>
    <customSheetView guid="{B2DFF69B-285A-4741-8E27-3A7A4E64AD56}" filter="1" showAutoFilter="1">
      <pageMargins left="0.511811024" right="0.511811024" top="0.78740157499999996" bottom="0.78740157499999996" header="0.31496062000000002" footer="0.31496062000000002"/>
      <autoFilter ref="A1:E26" xr:uid="{B278DC3A-7B94-4A3C-9471-F2B8D1686707}"/>
    </customSheetView>
  </customSheetView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dinâmica</vt:lpstr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Luiza Marques</cp:lastModifiedBy>
  <dcterms:modified xsi:type="dcterms:W3CDTF">2026-01-30T21:32:36Z</dcterms:modified>
</cp:coreProperties>
</file>
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OCS D\Estudos\EXCEL POWER BI\Excel-Avancado\"/>
    </mc:Choice>
  </mc:AlternateContent>
  <xr:revisionPtr revIDLastSave="0" documentId="13_ncr:1_{743982DF-B60A-4B43-85F6-B408ABBA8555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Base de Dados" sheetId="1" r:id="rId1"/>
    <sheet name="Tabelas Dinâmicas" sheetId="2" r:id="rId2"/>
    <sheet name="Dashboard" sheetId="3" r:id="rId3"/>
  </sheets>
  <definedNames>
    <definedName name="SegmentaçãodeDados_Equipe">#N/A</definedName>
    <definedName name="SegmentaçãodeDados_Produto">#N/A</definedName>
    <definedName name="Z_F5200A45_646E_4D3B_AE83_0A946F8E6943_.wvu.FilterData" localSheetId="0" hidden="1">'Base de Dados'!$A$1:$G$61</definedName>
  </definedNames>
  <calcPr calcId="191029"/>
  <customWorkbookViews>
    <customWorkbookView name="Filtro 1" guid="{F5200A45-646E-4D3B-AE83-0A946F8E6943}" maximized="1" windowWidth="0" windowHeight="0" activeSheetId="0"/>
  </customWorkbookViews>
  <pivotCaches>
    <pivotCache cacheId="11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5" i="2" l="1"/>
  <c r="E50" i="2"/>
</calcChain>
</file>

<file path=xl/sharedStrings.xml><?xml version="1.0" encoding="utf-8"?>
<sst xmlns="http://schemas.openxmlformats.org/spreadsheetml/2006/main" count="398" uniqueCount="42">
  <si>
    <t>Produto</t>
  </si>
  <si>
    <t>Equipe</t>
  </si>
  <si>
    <t>Público-alvo</t>
  </si>
  <si>
    <t>Mês</t>
  </si>
  <si>
    <t>Estado</t>
  </si>
  <si>
    <t>Avaliação</t>
  </si>
  <si>
    <t>Nota</t>
  </si>
  <si>
    <t>Coca-Cola</t>
  </si>
  <si>
    <t>Alfa</t>
  </si>
  <si>
    <t>A</t>
  </si>
  <si>
    <t>janeiro</t>
  </si>
  <si>
    <t>São Paulo</t>
  </si>
  <si>
    <t>Bom</t>
  </si>
  <si>
    <t>Guaraná Antarctica</t>
  </si>
  <si>
    <t>Pernambuco</t>
  </si>
  <si>
    <t>Médio</t>
  </si>
  <si>
    <t>Dolly</t>
  </si>
  <si>
    <t>Beta</t>
  </si>
  <si>
    <t>B</t>
  </si>
  <si>
    <t>Paraná</t>
  </si>
  <si>
    <t>Ruim</t>
  </si>
  <si>
    <t>Pepsi</t>
  </si>
  <si>
    <t>Goiás</t>
  </si>
  <si>
    <t>Sprite</t>
  </si>
  <si>
    <t>Amazonas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</si>
  <si>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</si>
  <si>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</si>
  <si>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</si>
  <si>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</si>
  <si>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</si>
  <si>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</si>
  <si>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</si>
  <si>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</si>
  <si>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</si>
  <si>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</si>
  <si>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</si>
  <si>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Rótulos de Linha</t>
  </si>
  <si>
    <t>Total Geral</t>
  </si>
  <si>
    <t>Soma de Nota</t>
  </si>
  <si>
    <t>publico alvo</t>
  </si>
  <si>
    <t>avaliação</t>
  </si>
  <si>
    <t>DASHBOARD ANÁLISE DE 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</si>
</sst>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0"/>
      <color rgb="FF000000"/>
      <name val="Arial"/>
      <scheme val="minor"/>
    </font>
    <font>
      <sz val="10"/>
      <color theme="1"/>
      <name val="Arial"/>
      <scheme val="minor"/>
    </font>
    <font>
      <sz val="16"/>
      <color theme="7" tint="-0.499984740745262"/>
      <name val="Arial"/>
      <family val="2"/>
      <scheme val="minor"/>
    </font>
    <font>
      <sz val="10"/>
      <color theme="7" tint="-0.499984740745262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0" fontId="0" fillId="0" borderId="0" xfId="0" applyNumberFormat="1"/>
  </cellXfs>
  <cellStyles count="1">
    <cellStyle name="Normal" xfId="0" builtinId="0"/>
  </cellStyles>
  <dxfs count="2">
    <dxf>
      <font>
        <b/>
        <i val="0"/>
        <color theme="0"/>
      </font>
      <border>
        <bottom style="thin">
          <color theme="7"/>
        </bottom>
        <vertical/>
        <horizontal/>
      </border>
    </dxf>
    <dxf>
      <font>
        <color theme="1"/>
      </font>
      <fill>
        <patternFill>
          <bgColor theme="7" tint="0.39994506668294322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REFRI" pivot="0" table="0" count="10" xr9:uid="{8A75B219-1AFE-485F-8DF5-DE943D819219}">
      <tableStyleElement type="wholeTable" dxfId="1"/>
      <tableStyleElement type="headerRow" dxfId="0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7" tint="-0.249977111117893"/>
          </font>
          <fill>
            <patternFill patternType="solid">
              <fgColor theme="7" tint="0.59999389629810485"/>
              <bgColor theme="7" tint="0.59999389629810485"/>
            </patternFill>
          </fill>
          <border>
            <left style="thin">
              <color theme="7" tint="0.59999389629810485"/>
            </left>
            <right style="thin">
              <color theme="7" tint="0.59999389629810485"/>
            </right>
            <top style="thin">
              <color theme="7" tint="0.59999389629810485"/>
            </top>
            <bottom style="thin">
              <color theme="7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7"/>
              <bgColor theme="7"/>
            </patternFill>
          </fill>
          <border>
            <left style="thin">
              <color theme="7"/>
            </left>
            <right style="thin">
              <color theme="7"/>
            </right>
            <top style="thin">
              <color theme="7"/>
            </top>
            <bottom style="thin">
              <color theme="7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REFRI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[Aula 39 - Dashboard para Análise de Produtos.xlsx]Tabelas Dinâmicas!Tabela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'Tabelas Dinâmicas'!$B$3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'Tabelas Dinâmicas'!$A$4:$A$9</c:f>
              <c:strCache>
                <c:ptCount val="5"/>
                <c:pt idx="0">
                  <c:v>Coca-Cola</c:v>
                </c:pt>
                <c:pt idx="1">
                  <c:v>Dolly</c:v>
                </c:pt>
                <c:pt idx="2">
                  <c:v>Guaraná Antarctica</c:v>
                </c:pt>
                <c:pt idx="3">
                  <c:v>Pepsi</c:v>
                </c:pt>
                <c:pt idx="4">
                  <c:v>Sprite</c:v>
                </c:pt>
              </c:strCache>
            </c:strRef>
          </c:cat>
          <c:val>
            <c:numRef>
              <c:f>'Tabelas Dinâmicas'!$B$4:$B$9</c:f>
              <c:numCache>
                <c:formatCode>General</c:formatCode>
                <c:ptCount val="5"/>
                <c:pt idx="0">
                  <c:v>36</c:v>
                </c:pt>
                <c:pt idx="1">
                  <c:v>34</c:v>
                </c:pt>
                <c:pt idx="2">
                  <c:v>45</c:v>
                </c:pt>
                <c:pt idx="3">
                  <c:v>45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C5-429D-9178-B79609795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9812512"/>
        <c:axId val="1499801952"/>
      </c:barChart>
      <c:catAx>
        <c:axId val="149981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9801952"/>
        <c:crosses val="autoZero"/>
        <c:auto val="1"/>
        <c:lblAlgn val="ctr"/>
        <c:lblOffset val="100"/>
        <c:noMultiLvlLbl val="0"/>
      </c:catAx>
      <c:valAx>
        <c:axId val="149980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9812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[Aula 39 - Dashboard para Análise de Produtos.xlsx]Tabelas Dinâmicas!Tabela dinâmica2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'Tabelas Dinâmicas'!$B$21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'Tabelas Dinâmicas'!$A$22:$A$24</c:f>
              <c:strCache>
                <c:ptCount val="2"/>
                <c:pt idx="0">
                  <c:v>Alfa</c:v>
                </c:pt>
                <c:pt idx="1">
                  <c:v>Beta</c:v>
                </c:pt>
              </c:strCache>
            </c:strRef>
          </c:cat>
          <c:val>
            <c:numRef>
              <c:f>'Tabelas Dinâmicas'!$B$22:$B$24</c:f>
              <c:numCache>
                <c:formatCode>General</c:formatCode>
                <c:ptCount val="2"/>
                <c:pt idx="0">
                  <c:v>126</c:v>
                </c:pt>
                <c:pt idx="1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7-49E5-A89E-D15F5178F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3008144"/>
        <c:axId val="1153008624"/>
      </c:barChart>
      <c:catAx>
        <c:axId val="1153008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3008624"/>
        <c:crosses val="autoZero"/>
        <c:auto val="1"/>
        <c:lblAlgn val="ctr"/>
        <c:lblOffset val="100"/>
        <c:noMultiLvlLbl val="0"/>
      </c:catAx>
      <c:valAx>
        <c:axId val="115300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300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[Aula 39 - Dashboard para Análise de Produtos.xlsx]Tabelas Dinâmicas!Tabela dinâmica3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'Tabelas Dinâmicas'!$B$41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'Tabelas Dinâmicas'!$A$42:$A$47</c:f>
              <c:strCache>
                <c:ptCount val="5"/>
                <c:pt idx="0">
                  <c:v>Amazonas</c:v>
                </c:pt>
                <c:pt idx="1">
                  <c:v>Goiás</c:v>
                </c:pt>
                <c:pt idx="2">
                  <c:v>Paraná</c:v>
                </c:pt>
                <c:pt idx="3">
                  <c:v>Pernambuco</c:v>
                </c:pt>
                <c:pt idx="4">
                  <c:v>São Paulo</c:v>
                </c:pt>
              </c:strCache>
            </c:strRef>
          </c:cat>
          <c:val>
            <c:numRef>
              <c:f>'Tabelas Dinâmicas'!$B$42:$B$47</c:f>
              <c:numCache>
                <c:formatCode>0.00%</c:formatCode>
                <c:ptCount val="5"/>
                <c:pt idx="0">
                  <c:v>0.20398009950248755</c:v>
                </c:pt>
                <c:pt idx="1">
                  <c:v>0.22388059701492538</c:v>
                </c:pt>
                <c:pt idx="2">
                  <c:v>0.1691542288557214</c:v>
                </c:pt>
                <c:pt idx="3">
                  <c:v>0.22388059701492538</c:v>
                </c:pt>
                <c:pt idx="4">
                  <c:v>0.17910447761194029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4C-493E-8DBB-7F98CF5A8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[Aula 39 - Dashboard para Análise de Produtos.xlsx]Tabelas Dinâmicas!Tabela dinâmica1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2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'Tabelas Dinâmicas'!$B$3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 Dinâmicas'!$A$4:$A$9</c:f>
              <c:strCache>
                <c:ptCount val="5"/>
                <c:pt idx="0">
                  <c:v>Coca-Cola</c:v>
                </c:pt>
                <c:pt idx="1">
                  <c:v>Dolly</c:v>
                </c:pt>
                <c:pt idx="2">
                  <c:v>Guaraná Antarctica</c:v>
                </c:pt>
                <c:pt idx="3">
                  <c:v>Pepsi</c:v>
                </c:pt>
                <c:pt idx="4">
                  <c:v>Sprite</c:v>
                </c:pt>
              </c:strCache>
            </c:strRef>
          </c:cat>
          <c:val>
            <c:numRef>
              <c:f>'Tabelas Dinâmicas'!$B$4:$B$9</c:f>
              <c:numCache>
                <c:formatCode>General</c:formatCode>
                <c:ptCount val="5"/>
                <c:pt idx="0">
                  <c:v>36</c:v>
                </c:pt>
                <c:pt idx="1">
                  <c:v>34</c:v>
                </c:pt>
                <c:pt idx="2">
                  <c:v>45</c:v>
                </c:pt>
                <c:pt idx="3">
                  <c:v>45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C-49FA-BCFB-464AB38A7B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99812512"/>
        <c:axId val="1499801952"/>
      </c:barChart>
      <c:catAx>
        <c:axId val="149981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9801952"/>
        <c:crosses val="autoZero"/>
        <c:auto val="1"/>
        <c:lblAlgn val="ctr"/>
        <c:lblOffset val="100"/>
        <c:noMultiLvlLbl val="0"/>
      </c:catAx>
      <c:valAx>
        <c:axId val="1499801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9812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[Aula 39 - Dashboard para Análise de Produtos.xlsx]Tabelas Dinâmicas!Tabela dinâmica2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'Tabelas Dinâmicas'!$B$21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'Tabelas Dinâmicas'!$A$22:$A$24</c:f>
              <c:strCache>
                <c:ptCount val="2"/>
                <c:pt idx="0">
                  <c:v>Alfa</c:v>
                </c:pt>
                <c:pt idx="1">
                  <c:v>Beta</c:v>
                </c:pt>
              </c:strCache>
            </c:strRef>
          </c:cat>
          <c:val>
            <c:numRef>
              <c:f>'Tabelas Dinâmicas'!$B$22:$B$24</c:f>
              <c:numCache>
                <c:formatCode>General</c:formatCode>
                <c:ptCount val="2"/>
                <c:pt idx="0">
                  <c:v>126</c:v>
                </c:pt>
                <c:pt idx="1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1-46DA-B2DA-BC2DF9F7F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3008144"/>
        <c:axId val="1153008624"/>
      </c:barChart>
      <c:catAx>
        <c:axId val="1153008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3008624"/>
        <c:crosses val="autoZero"/>
        <c:auto val="1"/>
        <c:lblAlgn val="ctr"/>
        <c:lblOffset val="100"/>
        <c:noMultiLvlLbl val="0"/>
      </c:catAx>
      <c:valAx>
        <c:axId val="115300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3008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[Aula 39 - Dashboard para Análise de Produtos.xlsx]Tabelas Dinâmicas!Tabela dinâmica3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270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>
              <a:lumMod val="60000"/>
              <a:lumOff val="40000"/>
            </a:schemeClr>
          </a:solidFill>
          <a:ln w="1270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4">
              <a:lumMod val="50000"/>
            </a:schemeClr>
          </a:solidFill>
          <a:ln w="1270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>
              <a:lumMod val="40000"/>
              <a:lumOff val="60000"/>
            </a:schemeClr>
          </a:solidFill>
          <a:ln w="1270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4">
              <a:lumMod val="75000"/>
            </a:schemeClr>
          </a:solidFill>
          <a:ln w="12700">
            <a:solidFill>
              <a:schemeClr val="lt1"/>
            </a:solidFill>
          </a:ln>
          <a:effectLst/>
        </c:spPr>
        <c:dLbl>
          <c:idx val="0"/>
          <c:layout>
            <c:manualLayout>
              <c:x val="0.2102460695407086"/>
              <c:y val="-6.3594002804443966E-2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651945452926163"/>
                  <c:h val="0.10763887390788481"/>
                </c:manualLayout>
              </c15:layout>
            </c:ext>
          </c:extLst>
        </c:dLbl>
      </c:pivotFmt>
      <c:pivotFmt>
        <c:idx val="12"/>
        <c:spPr>
          <a:solidFill>
            <a:schemeClr val="accent4"/>
          </a:solidFill>
          <a:ln w="1270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'Tabelas Dinâmicas'!$B$41</c:f>
              <c:strCache>
                <c:ptCount val="1"/>
                <c:pt idx="0">
                  <c:v>Total</c:v>
                </c:pt>
              </c:strCache>
            </c:strRef>
          </c:tx>
          <c:spPr>
            <a:ln w="12700"/>
          </c:spPr>
          <c:dPt>
            <c:idx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905-459F-AC46-B2B1EC9F6F81}"/>
              </c:ext>
            </c:extLst>
          </c:dPt>
          <c:dPt>
            <c:idx val="1"/>
            <c:bubble3D val="0"/>
            <c:spPr>
              <a:solidFill>
                <a:schemeClr val="accent4">
                  <a:lumMod val="50000"/>
                </a:schemeClr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905-459F-AC46-B2B1EC9F6F81}"/>
              </c:ext>
            </c:extLst>
          </c:dPt>
          <c:dPt>
            <c:idx val="2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905-459F-AC46-B2B1EC9F6F81}"/>
              </c:ext>
            </c:extLst>
          </c:dPt>
          <c:dPt>
            <c:idx val="3"/>
            <c:bubble3D val="0"/>
            <c:spPr>
              <a:solidFill>
                <a:schemeClr val="accent4">
                  <a:lumMod val="75000"/>
                </a:schemeClr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905-459F-AC46-B2B1EC9F6F81}"/>
              </c:ext>
            </c:extLst>
          </c:dPt>
          <c:dPt>
            <c:idx val="4"/>
            <c:bubble3D val="0"/>
            <c:spPr>
              <a:solidFill>
                <a:schemeClr val="accent4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905-459F-AC46-B2B1EC9F6F81}"/>
              </c:ext>
            </c:extLst>
          </c:dPt>
          <c:dLbls>
            <c:dLbl>
              <c:idx val="3"/>
              <c:layout>
                <c:manualLayout>
                  <c:x val="0.2102460695407086"/>
                  <c:y val="-6.3594002804443966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651945452926163"/>
                      <c:h val="0.1076388739078848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905-459F-AC46-B2B1EC9F6F81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'Tabelas Dinâmicas'!$A$42:$A$47</c:f>
              <c:strCache>
                <c:ptCount val="5"/>
                <c:pt idx="0">
                  <c:v>Amazonas</c:v>
                </c:pt>
                <c:pt idx="1">
                  <c:v>Goiás</c:v>
                </c:pt>
                <c:pt idx="2">
                  <c:v>Paraná</c:v>
                </c:pt>
                <c:pt idx="3">
                  <c:v>Pernambuco</c:v>
                </c:pt>
                <c:pt idx="4">
                  <c:v>São Paulo</c:v>
                </c:pt>
              </c:strCache>
            </c:strRef>
          </c:cat>
          <c:val>
            <c:numRef>
              <c:f>'Tabelas Dinâmicas'!$B$42:$B$47</c:f>
              <c:numCache>
                <c:formatCode>0.00%</c:formatCode>
                <c:ptCount val="5"/>
                <c:pt idx="0">
                  <c:v>0.20398009950248755</c:v>
                </c:pt>
                <c:pt idx="1">
                  <c:v>0.22388059701492538</c:v>
                </c:pt>
                <c:pt idx="2">
                  <c:v>0.1691542288557214</c:v>
                </c:pt>
                <c:pt idx="3">
                  <c:v>0.22388059701492538</c:v>
                </c:pt>
                <c:pt idx="4">
                  <c:v>0.17910447761194029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905-459F-AC46-B2B1EC9F6F8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image" Target="../media/image4.svg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image" Target="../media/image3.png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2</xdr:row>
      <xdr:rowOff>0</xdr:rowOff>
    </xdr:from>
    <xdr:to>
      <xdr:col>10</xdr:col>
      <xdr:colOff>504825</xdr:colOff>
      <xdr:row>18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24DC3F8-3B51-9422-EEEF-E5770C08A3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228600</xdr:colOff>
      <xdr:row>20</xdr:row>
      <xdr:rowOff>85725</xdr:rowOff>
    </xdr:from>
    <xdr:to>
      <xdr:col>10</xdr:col>
      <xdr:colOff>533400</xdr:colOff>
      <xdr:row>37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CF67BB5-B22D-D15F-A570-9CA02BE228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161925</xdr:colOff>
      <xdr:row>40</xdr:row>
      <xdr:rowOff>38100</xdr:rowOff>
    </xdr:from>
    <xdr:to>
      <xdr:col>16</xdr:col>
      <xdr:colOff>466725</xdr:colOff>
      <xdr:row>57</xdr:row>
      <xdr:rowOff>28575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5BAF73A-63E5-1020-363E-CEFB6D3EED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18</xdr:row>
      <xdr:rowOff>57150</xdr:rowOff>
    </xdr:from>
    <xdr:to>
      <xdr:col>8</xdr:col>
      <xdr:colOff>600075</xdr:colOff>
      <xdr:row>35</xdr:row>
      <xdr:rowOff>104774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FB57C79-DDF5-463F-93B9-9BA6DEDA59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180974</xdr:colOff>
      <xdr:row>20</xdr:row>
      <xdr:rowOff>0</xdr:rowOff>
    </xdr:from>
    <xdr:to>
      <xdr:col>17</xdr:col>
      <xdr:colOff>323849</xdr:colOff>
      <xdr:row>34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31214C4-6D1D-4390-AEDC-2020227CBD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152400</xdr:colOff>
      <xdr:row>4</xdr:row>
      <xdr:rowOff>57150</xdr:rowOff>
    </xdr:from>
    <xdr:to>
      <xdr:col>5</xdr:col>
      <xdr:colOff>464259</xdr:colOff>
      <xdr:row>11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Produto">
              <a:extLst>
                <a:ext uri="{FF2B5EF4-FFF2-40B4-BE49-F238E27FC236}">
                  <a16:creationId xmlns:a16="http://schemas.microsoft.com/office/drawing/2014/main" id="{6C9C7599-B99E-1820-5DB6-957033E66D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" y="704850"/>
              <a:ext cx="3359859" cy="1114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161924</xdr:colOff>
      <xdr:row>12</xdr:row>
      <xdr:rowOff>114301</xdr:rowOff>
    </xdr:from>
    <xdr:to>
      <xdr:col>5</xdr:col>
      <xdr:colOff>428625</xdr:colOff>
      <xdr:row>16</xdr:row>
      <xdr:rowOff>95251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Equipe">
              <a:extLst>
                <a:ext uri="{FF2B5EF4-FFF2-40B4-BE49-F238E27FC236}">
                  <a16:creationId xmlns:a16="http://schemas.microsoft.com/office/drawing/2014/main" id="{88BE438A-5BD2-D92F-DEA4-C62316DB0D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qui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924" y="2057401"/>
              <a:ext cx="3314701" cy="628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9</xdr:col>
      <xdr:colOff>276224</xdr:colOff>
      <xdr:row>0</xdr:row>
      <xdr:rowOff>66675</xdr:rowOff>
    </xdr:from>
    <xdr:to>
      <xdr:col>17</xdr:col>
      <xdr:colOff>171449</xdr:colOff>
      <xdr:row>17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C2181E5-2EC1-4415-9841-1BF67F9CA5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142875</xdr:colOff>
      <xdr:row>4</xdr:row>
      <xdr:rowOff>0</xdr:rowOff>
    </xdr:from>
    <xdr:to>
      <xdr:col>5</xdr:col>
      <xdr:colOff>481830</xdr:colOff>
      <xdr:row>11</xdr:row>
      <xdr:rowOff>76200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151A7F5E-3506-6BA9-4C8D-2C47C62879B5}"/>
            </a:ext>
          </a:extLst>
        </xdr:cNvPr>
        <xdr:cNvSpPr/>
      </xdr:nvSpPr>
      <xdr:spPr>
        <a:xfrm>
          <a:off x="142875" y="647700"/>
          <a:ext cx="3386955" cy="1209675"/>
        </a:xfrm>
        <a:prstGeom prst="roundRect">
          <a:avLst>
            <a:gd name="adj" fmla="val 7218"/>
          </a:avLst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123825</xdr:colOff>
      <xdr:row>12</xdr:row>
      <xdr:rowOff>66676</xdr:rowOff>
    </xdr:from>
    <xdr:to>
      <xdr:col>5</xdr:col>
      <xdr:colOff>462780</xdr:colOff>
      <xdr:row>16</xdr:row>
      <xdr:rowOff>142876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04FEE632-BF74-4187-9971-915984B3FD9F}"/>
            </a:ext>
          </a:extLst>
        </xdr:cNvPr>
        <xdr:cNvSpPr/>
      </xdr:nvSpPr>
      <xdr:spPr>
        <a:xfrm>
          <a:off x="123825" y="2009776"/>
          <a:ext cx="3386955" cy="723900"/>
        </a:xfrm>
        <a:prstGeom prst="roundRect">
          <a:avLst>
            <a:gd name="adj" fmla="val 7218"/>
          </a:avLst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114300</xdr:colOff>
      <xdr:row>18</xdr:row>
      <xdr:rowOff>0</xdr:rowOff>
    </xdr:from>
    <xdr:to>
      <xdr:col>9</xdr:col>
      <xdr:colOff>19050</xdr:colOff>
      <xdr:row>35</xdr:row>
      <xdr:rowOff>123825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0ED46C51-47CE-4840-8D6A-AF8960024C4A}"/>
            </a:ext>
          </a:extLst>
        </xdr:cNvPr>
        <xdr:cNvSpPr/>
      </xdr:nvSpPr>
      <xdr:spPr>
        <a:xfrm>
          <a:off x="114300" y="2914650"/>
          <a:ext cx="5391150" cy="2876550"/>
        </a:xfrm>
        <a:prstGeom prst="roundRect">
          <a:avLst>
            <a:gd name="adj" fmla="val 2325"/>
          </a:avLst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142875</xdr:colOff>
      <xdr:row>18</xdr:row>
      <xdr:rowOff>1</xdr:rowOff>
    </xdr:from>
    <xdr:to>
      <xdr:col>17</xdr:col>
      <xdr:colOff>333375</xdr:colOff>
      <xdr:row>35</xdr:row>
      <xdr:rowOff>114300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A0F9D070-8F92-4472-8C9B-2033AD8E2541}"/>
            </a:ext>
          </a:extLst>
        </xdr:cNvPr>
        <xdr:cNvSpPr/>
      </xdr:nvSpPr>
      <xdr:spPr>
        <a:xfrm>
          <a:off x="5629275" y="2914651"/>
          <a:ext cx="5067300" cy="2867024"/>
        </a:xfrm>
        <a:prstGeom prst="roundRect">
          <a:avLst>
            <a:gd name="adj" fmla="val 2325"/>
          </a:avLst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133350</xdr:colOff>
      <xdr:row>1</xdr:row>
      <xdr:rowOff>1</xdr:rowOff>
    </xdr:from>
    <xdr:to>
      <xdr:col>17</xdr:col>
      <xdr:colOff>323850</xdr:colOff>
      <xdr:row>17</xdr:row>
      <xdr:rowOff>9525</xdr:rowOff>
    </xdr:to>
    <xdr:sp macro="" textlink="">
      <xdr:nvSpPr>
        <xdr:cNvPr id="13" name="Retângulo: Cantos Arredondados 12">
          <a:extLst>
            <a:ext uri="{FF2B5EF4-FFF2-40B4-BE49-F238E27FC236}">
              <a16:creationId xmlns:a16="http://schemas.microsoft.com/office/drawing/2014/main" id="{32F27C28-120B-4C60-9474-0253EC7ED1EA}"/>
            </a:ext>
          </a:extLst>
        </xdr:cNvPr>
        <xdr:cNvSpPr/>
      </xdr:nvSpPr>
      <xdr:spPr>
        <a:xfrm>
          <a:off x="5619750" y="161926"/>
          <a:ext cx="5067300" cy="2600324"/>
        </a:xfrm>
        <a:prstGeom prst="roundRect">
          <a:avLst>
            <a:gd name="adj" fmla="val 2325"/>
          </a:avLst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66675</xdr:colOff>
      <xdr:row>4</xdr:row>
      <xdr:rowOff>0</xdr:rowOff>
    </xdr:from>
    <xdr:to>
      <xdr:col>9</xdr:col>
      <xdr:colOff>9525</xdr:colOff>
      <xdr:row>9</xdr:row>
      <xdr:rowOff>38100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F60F6090-D9A8-49A3-891A-EA9BFC013CB3}"/>
            </a:ext>
          </a:extLst>
        </xdr:cNvPr>
        <xdr:cNvSpPr/>
      </xdr:nvSpPr>
      <xdr:spPr>
        <a:xfrm>
          <a:off x="4333875" y="647700"/>
          <a:ext cx="1162050" cy="847725"/>
        </a:xfrm>
        <a:prstGeom prst="roundRect">
          <a:avLst>
            <a:gd name="adj" fmla="val 7218"/>
          </a:avLst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57150</xdr:colOff>
      <xdr:row>10</xdr:row>
      <xdr:rowOff>66675</xdr:rowOff>
    </xdr:from>
    <xdr:to>
      <xdr:col>9</xdr:col>
      <xdr:colOff>0</xdr:colOff>
      <xdr:row>15</xdr:row>
      <xdr:rowOff>104775</xdr:rowOff>
    </xdr:to>
    <xdr:sp macro="" textlink="">
      <xdr:nvSpPr>
        <xdr:cNvPr id="16" name="Retângulo: Cantos Arredondados 15">
          <a:extLst>
            <a:ext uri="{FF2B5EF4-FFF2-40B4-BE49-F238E27FC236}">
              <a16:creationId xmlns:a16="http://schemas.microsoft.com/office/drawing/2014/main" id="{8A0A77F9-9344-4C71-B9CF-2384C28BEDAD}"/>
            </a:ext>
          </a:extLst>
        </xdr:cNvPr>
        <xdr:cNvSpPr/>
      </xdr:nvSpPr>
      <xdr:spPr>
        <a:xfrm>
          <a:off x="4324350" y="1685925"/>
          <a:ext cx="1162050" cy="847725"/>
        </a:xfrm>
        <a:prstGeom prst="roundRect">
          <a:avLst>
            <a:gd name="adj" fmla="val 7218"/>
          </a:avLst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152400</xdr:colOff>
      <xdr:row>4</xdr:row>
      <xdr:rowOff>85725</xdr:rowOff>
    </xdr:from>
    <xdr:to>
      <xdr:col>8</xdr:col>
      <xdr:colOff>561975</xdr:colOff>
      <xdr:row>6</xdr:row>
      <xdr:rowOff>28575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677E343E-AC55-07B1-B467-C02594181224}"/>
            </a:ext>
          </a:extLst>
        </xdr:cNvPr>
        <xdr:cNvSpPr txBox="1"/>
      </xdr:nvSpPr>
      <xdr:spPr>
        <a:xfrm>
          <a:off x="4419600" y="733425"/>
          <a:ext cx="101917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bg1"/>
              </a:solidFill>
            </a:rPr>
            <a:t>Público-alvo</a:t>
          </a:r>
        </a:p>
      </xdr:txBody>
    </xdr:sp>
    <xdr:clientData/>
  </xdr:twoCellAnchor>
  <xdr:twoCellAnchor>
    <xdr:from>
      <xdr:col>7</xdr:col>
      <xdr:colOff>285750</xdr:colOff>
      <xdr:row>6</xdr:row>
      <xdr:rowOff>0</xdr:rowOff>
    </xdr:from>
    <xdr:to>
      <xdr:col>8</xdr:col>
      <xdr:colOff>400050</xdr:colOff>
      <xdr:row>8</xdr:row>
      <xdr:rowOff>152400</xdr:rowOff>
    </xdr:to>
    <xdr:sp macro="" textlink="'Tabelas Dinâmicas'!$E$50">
      <xdr:nvSpPr>
        <xdr:cNvPr id="18" name="CaixaDeTexto 17">
          <a:extLst>
            <a:ext uri="{FF2B5EF4-FFF2-40B4-BE49-F238E27FC236}">
              <a16:creationId xmlns:a16="http://schemas.microsoft.com/office/drawing/2014/main" id="{7FDACD53-87D1-059A-986A-60F5CE5E13E5}"/>
            </a:ext>
          </a:extLst>
        </xdr:cNvPr>
        <xdr:cNvSpPr txBox="1"/>
      </xdr:nvSpPr>
      <xdr:spPr>
        <a:xfrm>
          <a:off x="4552950" y="971550"/>
          <a:ext cx="723900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DA8075A-2AA5-4638-AB1D-E49A5ED4C1B9}" type="TxLink">
            <a:rPr lang="en-US" sz="3600" b="1" i="0" u="none" strike="noStrike">
              <a:ln>
                <a:noFill/>
              </a:ln>
              <a:solidFill>
                <a:schemeClr val="bg1"/>
              </a:solidFill>
              <a:latin typeface="Arial"/>
              <a:cs typeface="Arial"/>
            </a:rPr>
            <a:pPr algn="ctr"/>
            <a:t>A</a:t>
          </a:fld>
          <a:endParaRPr lang="pt-BR" sz="4400" b="1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123825</xdr:colOff>
      <xdr:row>10</xdr:row>
      <xdr:rowOff>142875</xdr:rowOff>
    </xdr:from>
    <xdr:to>
      <xdr:col>8</xdr:col>
      <xdr:colOff>533400</xdr:colOff>
      <xdr:row>12</xdr:row>
      <xdr:rowOff>85725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33F864A3-8EAE-4976-BC9D-28470D3A9348}"/>
            </a:ext>
          </a:extLst>
        </xdr:cNvPr>
        <xdr:cNvSpPr txBox="1"/>
      </xdr:nvSpPr>
      <xdr:spPr>
        <a:xfrm>
          <a:off x="4391025" y="1762125"/>
          <a:ext cx="101917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>
              <a:solidFill>
                <a:schemeClr val="bg1"/>
              </a:solidFill>
            </a:rPr>
            <a:t>Avaliação</a:t>
          </a:r>
        </a:p>
      </xdr:txBody>
    </xdr:sp>
    <xdr:clientData/>
  </xdr:twoCellAnchor>
  <xdr:twoCellAnchor>
    <xdr:from>
      <xdr:col>7</xdr:col>
      <xdr:colOff>114299</xdr:colOff>
      <xdr:row>12</xdr:row>
      <xdr:rowOff>76200</xdr:rowOff>
    </xdr:from>
    <xdr:to>
      <xdr:col>8</xdr:col>
      <xdr:colOff>552450</xdr:colOff>
      <xdr:row>15</xdr:row>
      <xdr:rowOff>66675</xdr:rowOff>
    </xdr:to>
    <xdr:sp macro="" textlink="'Tabelas Dinâmicas'!$E$55">
      <xdr:nvSpPr>
        <xdr:cNvPr id="20" name="CaixaDeTexto 19">
          <a:extLst>
            <a:ext uri="{FF2B5EF4-FFF2-40B4-BE49-F238E27FC236}">
              <a16:creationId xmlns:a16="http://schemas.microsoft.com/office/drawing/2014/main" id="{88D0B1E4-6FE0-4D7E-BC31-A988407BDF45}"/>
            </a:ext>
          </a:extLst>
        </xdr:cNvPr>
        <xdr:cNvSpPr txBox="1"/>
      </xdr:nvSpPr>
      <xdr:spPr>
        <a:xfrm>
          <a:off x="4381499" y="2019300"/>
          <a:ext cx="1047751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F87D3BE-ABB7-427C-A622-7B72C45BFB5F}" type="TxLink">
            <a:rPr lang="en-US" sz="2800" b="1" i="0" u="none" strike="noStrike">
              <a:ln>
                <a:noFill/>
              </a:ln>
              <a:solidFill>
                <a:schemeClr val="bg1"/>
              </a:solidFill>
              <a:latin typeface="Arial"/>
              <a:cs typeface="Arial"/>
            </a:rPr>
            <a:t>Bom</a:t>
          </a:fld>
          <a:endParaRPr lang="pt-BR" sz="11500" b="1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5</xdr:col>
      <xdr:colOff>609599</xdr:colOff>
      <xdr:row>4</xdr:row>
      <xdr:rowOff>85724</xdr:rowOff>
    </xdr:from>
    <xdr:to>
      <xdr:col>6</xdr:col>
      <xdr:colOff>600074</xdr:colOff>
      <xdr:row>8</xdr:row>
      <xdr:rowOff>38099</xdr:rowOff>
    </xdr:to>
    <xdr:pic>
      <xdr:nvPicPr>
        <xdr:cNvPr id="22" name="Gráfico 21" descr="Usuário estrutura de tópicos">
          <a:extLst>
            <a:ext uri="{FF2B5EF4-FFF2-40B4-BE49-F238E27FC236}">
              <a16:creationId xmlns:a16="http://schemas.microsoft.com/office/drawing/2014/main" id="{ED91B53F-D2A0-A82B-EE1C-F9C4410AB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3657599" y="733424"/>
          <a:ext cx="600075" cy="6000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28575</xdr:colOff>
      <xdr:row>14</xdr:row>
      <xdr:rowOff>152400</xdr:rowOff>
    </xdr:to>
    <xdr:pic>
      <xdr:nvPicPr>
        <xdr:cNvPr id="24" name="Gráfico 23" descr="Comentar com Curtir estrutura de tópicos">
          <a:extLst>
            <a:ext uri="{FF2B5EF4-FFF2-40B4-BE49-F238E27FC236}">
              <a16:creationId xmlns:a16="http://schemas.microsoft.com/office/drawing/2014/main" id="{0239532D-5D98-7529-6CA5-08592BA6F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3657600" y="1781175"/>
          <a:ext cx="638175" cy="6381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en Luiza Marques" refreshedDate="46055.662638425929" createdVersion="8" refreshedVersion="8" minRefreshableVersion="3" recordCount="60" xr:uid="{423652BC-2EF2-4648-BD41-8F0C2D30907A}">
  <cacheSource type="worksheet">
    <worksheetSource ref="A1:G61" sheet="Base de Dados"/>
  </cacheSource>
  <cacheFields count="7">
    <cacheField name="Produto" numFmtId="0">
      <sharedItems count="5">
        <s v="Coca-Cola"/>
        <s v="Guaraná Antarctica"/>
        <s v="Dolly"/>
        <s v="Pepsi"/>
        <s v="Sprite"/>
      </sharedItems>
    </cacheField>
    <cacheField name="Equipe" numFmtId="0">
      <sharedItems count="2">
        <s v="Alfa"/>
        <s v="Beta"/>
      </sharedItems>
    </cacheField>
    <cacheField name="Público-alvo" numFmtId="0">
      <sharedItems count="2">
        <s v="A"/>
        <s v="B"/>
      </sharedItems>
    </cacheField>
    <cacheField name="Mês" numFmtId="0">
      <sharedItems/>
    </cacheField>
    <cacheField name="Estado" numFmtId="0">
      <sharedItems count="5">
        <s v="São Paulo"/>
        <s v="Pernambuco"/>
        <s v="Paraná"/>
        <s v="Goiás"/>
        <s v="Amazonas"/>
      </sharedItems>
    </cacheField>
    <cacheField name="Avaliação" numFmtId="0">
      <sharedItems count="3">
        <s v="Bom"/>
        <s v="Médio"/>
        <s v="Ruim"/>
      </sharedItems>
    </cacheField>
    <cacheField name="Nota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 pivotCacheId="70246848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s v="janeiro"/>
    <x v="0"/>
    <x v="0"/>
    <n v="5"/>
  </r>
  <r>
    <x v="1"/>
    <x v="0"/>
    <x v="0"/>
    <s v="janeiro"/>
    <x v="1"/>
    <x v="1"/>
    <n v="3"/>
  </r>
  <r>
    <x v="2"/>
    <x v="1"/>
    <x v="1"/>
    <s v="janeiro"/>
    <x v="2"/>
    <x v="2"/>
    <n v="2"/>
  </r>
  <r>
    <x v="3"/>
    <x v="0"/>
    <x v="0"/>
    <s v="janeiro"/>
    <x v="3"/>
    <x v="0"/>
    <n v="4"/>
  </r>
  <r>
    <x v="4"/>
    <x v="1"/>
    <x v="1"/>
    <s v="janeiro"/>
    <x v="4"/>
    <x v="0"/>
    <n v="5"/>
  </r>
  <r>
    <x v="0"/>
    <x v="0"/>
    <x v="0"/>
    <s v="fevereiro"/>
    <x v="0"/>
    <x v="2"/>
    <n v="2"/>
  </r>
  <r>
    <x v="1"/>
    <x v="0"/>
    <x v="0"/>
    <s v="fevereiro"/>
    <x v="1"/>
    <x v="1"/>
    <n v="3"/>
  </r>
  <r>
    <x v="2"/>
    <x v="1"/>
    <x v="1"/>
    <s v="fevereiro"/>
    <x v="2"/>
    <x v="1"/>
    <n v="3"/>
  </r>
  <r>
    <x v="3"/>
    <x v="0"/>
    <x v="0"/>
    <s v="fevereiro"/>
    <x v="3"/>
    <x v="2"/>
    <n v="1"/>
  </r>
  <r>
    <x v="4"/>
    <x v="1"/>
    <x v="1"/>
    <s v="fevereiro"/>
    <x v="4"/>
    <x v="2"/>
    <n v="1"/>
  </r>
  <r>
    <x v="0"/>
    <x v="0"/>
    <x v="0"/>
    <s v="março"/>
    <x v="0"/>
    <x v="1"/>
    <n v="3"/>
  </r>
  <r>
    <x v="1"/>
    <x v="0"/>
    <x v="0"/>
    <s v="março"/>
    <x v="1"/>
    <x v="0"/>
    <n v="4"/>
  </r>
  <r>
    <x v="2"/>
    <x v="1"/>
    <x v="1"/>
    <s v="março"/>
    <x v="2"/>
    <x v="0"/>
    <n v="4"/>
  </r>
  <r>
    <x v="3"/>
    <x v="0"/>
    <x v="0"/>
    <s v="março"/>
    <x v="3"/>
    <x v="1"/>
    <n v="3"/>
  </r>
  <r>
    <x v="4"/>
    <x v="1"/>
    <x v="1"/>
    <s v="março"/>
    <x v="4"/>
    <x v="0"/>
    <n v="4"/>
  </r>
  <r>
    <x v="0"/>
    <x v="0"/>
    <x v="0"/>
    <s v="abril"/>
    <x v="0"/>
    <x v="2"/>
    <n v="2"/>
  </r>
  <r>
    <x v="1"/>
    <x v="0"/>
    <x v="0"/>
    <s v="abril"/>
    <x v="1"/>
    <x v="0"/>
    <n v="5"/>
  </r>
  <r>
    <x v="2"/>
    <x v="1"/>
    <x v="1"/>
    <s v="abril"/>
    <x v="2"/>
    <x v="2"/>
    <n v="1"/>
  </r>
  <r>
    <x v="3"/>
    <x v="0"/>
    <x v="0"/>
    <s v="abril"/>
    <x v="3"/>
    <x v="0"/>
    <n v="5"/>
  </r>
  <r>
    <x v="4"/>
    <x v="1"/>
    <x v="1"/>
    <s v="abril"/>
    <x v="4"/>
    <x v="1"/>
    <n v="3"/>
  </r>
  <r>
    <x v="0"/>
    <x v="0"/>
    <x v="0"/>
    <s v="maio"/>
    <x v="0"/>
    <x v="2"/>
    <n v="1"/>
  </r>
  <r>
    <x v="1"/>
    <x v="0"/>
    <x v="0"/>
    <s v="maio"/>
    <x v="1"/>
    <x v="0"/>
    <n v="4"/>
  </r>
  <r>
    <x v="2"/>
    <x v="1"/>
    <x v="1"/>
    <s v="maio"/>
    <x v="2"/>
    <x v="1"/>
    <n v="3"/>
  </r>
  <r>
    <x v="3"/>
    <x v="0"/>
    <x v="0"/>
    <s v="maio"/>
    <x v="3"/>
    <x v="1"/>
    <n v="3"/>
  </r>
  <r>
    <x v="4"/>
    <x v="1"/>
    <x v="1"/>
    <s v="maio"/>
    <x v="4"/>
    <x v="0"/>
    <n v="4"/>
  </r>
  <r>
    <x v="0"/>
    <x v="0"/>
    <x v="0"/>
    <s v="junho"/>
    <x v="0"/>
    <x v="1"/>
    <n v="3"/>
  </r>
  <r>
    <x v="1"/>
    <x v="0"/>
    <x v="0"/>
    <s v="junho"/>
    <x v="1"/>
    <x v="0"/>
    <n v="5"/>
  </r>
  <r>
    <x v="2"/>
    <x v="1"/>
    <x v="1"/>
    <s v="junho"/>
    <x v="2"/>
    <x v="0"/>
    <n v="5"/>
  </r>
  <r>
    <x v="3"/>
    <x v="0"/>
    <x v="0"/>
    <s v="junho"/>
    <x v="3"/>
    <x v="0"/>
    <n v="4"/>
  </r>
  <r>
    <x v="4"/>
    <x v="1"/>
    <x v="1"/>
    <s v="junho"/>
    <x v="4"/>
    <x v="2"/>
    <n v="1"/>
  </r>
  <r>
    <x v="0"/>
    <x v="0"/>
    <x v="0"/>
    <s v="julho"/>
    <x v="0"/>
    <x v="0"/>
    <n v="5"/>
  </r>
  <r>
    <x v="1"/>
    <x v="0"/>
    <x v="0"/>
    <s v="julho"/>
    <x v="1"/>
    <x v="0"/>
    <n v="5"/>
  </r>
  <r>
    <x v="2"/>
    <x v="1"/>
    <x v="1"/>
    <s v="julho"/>
    <x v="2"/>
    <x v="2"/>
    <n v="1"/>
  </r>
  <r>
    <x v="3"/>
    <x v="0"/>
    <x v="0"/>
    <s v="julho"/>
    <x v="3"/>
    <x v="0"/>
    <n v="4"/>
  </r>
  <r>
    <x v="4"/>
    <x v="1"/>
    <x v="1"/>
    <s v="julho"/>
    <x v="4"/>
    <x v="0"/>
    <n v="4"/>
  </r>
  <r>
    <x v="0"/>
    <x v="0"/>
    <x v="0"/>
    <s v="agosto"/>
    <x v="0"/>
    <x v="1"/>
    <n v="3"/>
  </r>
  <r>
    <x v="1"/>
    <x v="0"/>
    <x v="0"/>
    <s v="agosto"/>
    <x v="1"/>
    <x v="1"/>
    <n v="3"/>
  </r>
  <r>
    <x v="2"/>
    <x v="1"/>
    <x v="1"/>
    <s v="agosto"/>
    <x v="2"/>
    <x v="2"/>
    <n v="2"/>
  </r>
  <r>
    <x v="3"/>
    <x v="0"/>
    <x v="0"/>
    <s v="agosto"/>
    <x v="3"/>
    <x v="0"/>
    <n v="5"/>
  </r>
  <r>
    <x v="4"/>
    <x v="1"/>
    <x v="1"/>
    <s v="agosto"/>
    <x v="4"/>
    <x v="2"/>
    <n v="2"/>
  </r>
  <r>
    <x v="0"/>
    <x v="0"/>
    <x v="0"/>
    <s v="setembro"/>
    <x v="0"/>
    <x v="0"/>
    <n v="5"/>
  </r>
  <r>
    <x v="1"/>
    <x v="0"/>
    <x v="0"/>
    <s v="setembro"/>
    <x v="1"/>
    <x v="1"/>
    <n v="3"/>
  </r>
  <r>
    <x v="2"/>
    <x v="1"/>
    <x v="1"/>
    <s v="setembro"/>
    <x v="2"/>
    <x v="1"/>
    <n v="3"/>
  </r>
  <r>
    <x v="3"/>
    <x v="0"/>
    <x v="0"/>
    <s v="setembro"/>
    <x v="3"/>
    <x v="0"/>
    <n v="4"/>
  </r>
  <r>
    <x v="4"/>
    <x v="1"/>
    <x v="1"/>
    <s v="setembro"/>
    <x v="4"/>
    <x v="0"/>
    <n v="5"/>
  </r>
  <r>
    <x v="0"/>
    <x v="0"/>
    <x v="0"/>
    <s v="outubro"/>
    <x v="0"/>
    <x v="0"/>
    <n v="4"/>
  </r>
  <r>
    <x v="1"/>
    <x v="0"/>
    <x v="0"/>
    <s v="outubro"/>
    <x v="1"/>
    <x v="2"/>
    <n v="2"/>
  </r>
  <r>
    <x v="2"/>
    <x v="1"/>
    <x v="1"/>
    <s v="outubro"/>
    <x v="2"/>
    <x v="1"/>
    <n v="3"/>
  </r>
  <r>
    <x v="3"/>
    <x v="0"/>
    <x v="0"/>
    <s v="outubro"/>
    <x v="3"/>
    <x v="0"/>
    <n v="5"/>
  </r>
  <r>
    <x v="4"/>
    <x v="1"/>
    <x v="1"/>
    <s v="outubro"/>
    <x v="4"/>
    <x v="0"/>
    <n v="4"/>
  </r>
  <r>
    <x v="0"/>
    <x v="0"/>
    <x v="0"/>
    <s v="novembro"/>
    <x v="0"/>
    <x v="2"/>
    <n v="2"/>
  </r>
  <r>
    <x v="1"/>
    <x v="0"/>
    <x v="0"/>
    <s v="novembro"/>
    <x v="1"/>
    <x v="0"/>
    <n v="5"/>
  </r>
  <r>
    <x v="2"/>
    <x v="1"/>
    <x v="1"/>
    <s v="novembro"/>
    <x v="2"/>
    <x v="1"/>
    <n v="3"/>
  </r>
  <r>
    <x v="3"/>
    <x v="0"/>
    <x v="0"/>
    <s v="novembro"/>
    <x v="3"/>
    <x v="0"/>
    <n v="5"/>
  </r>
  <r>
    <x v="4"/>
    <x v="1"/>
    <x v="1"/>
    <s v="novembro"/>
    <x v="4"/>
    <x v="1"/>
    <n v="3"/>
  </r>
  <r>
    <x v="0"/>
    <x v="0"/>
    <x v="0"/>
    <s v="dezembro"/>
    <x v="0"/>
    <x v="2"/>
    <n v="1"/>
  </r>
  <r>
    <x v="1"/>
    <x v="0"/>
    <x v="0"/>
    <s v="dezembro"/>
    <x v="1"/>
    <x v="1"/>
    <n v="3"/>
  </r>
  <r>
    <x v="2"/>
    <x v="1"/>
    <x v="1"/>
    <s v="dezembro"/>
    <x v="2"/>
    <x v="0"/>
    <n v="4"/>
  </r>
  <r>
    <x v="3"/>
    <x v="0"/>
    <x v="0"/>
    <s v="dezembro"/>
    <x v="3"/>
    <x v="2"/>
    <n v="2"/>
  </r>
  <r>
    <x v="4"/>
    <x v="1"/>
    <x v="1"/>
    <s v="dezembro"/>
    <x v="4"/>
    <x v="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5475ED-6E17-40E3-83D7-5DB6DD1D01D6}" name="Tabela dinâmica5" cacheId="11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outline="1" outlineData="1" multipleFieldFilters="0">
  <location ref="A55:A58" firstHeaderRow="1" firstDataRow="1" firstDataCol="1"/>
  <pivotFields count="7">
    <pivotField showAll="0">
      <items count="6">
        <item x="0"/>
        <item x="2"/>
        <item x="1"/>
        <item x="3"/>
        <item x="4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5"/>
  </rowFields>
  <rowItems count="3">
    <i>
      <x/>
    </i>
    <i>
      <x v="1"/>
    </i>
    <i>
      <x v="2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C83E54-425B-450D-BFC6-C27553016CE6}" name="Tabela dinâmica4" cacheId="11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outline="1" outlineData="1" multipleFieldFilters="0">
  <location ref="A50:A52" firstHeaderRow="1" firstDataRow="1" firstDataCol="1"/>
  <pivotFields count="7">
    <pivotField showAll="0">
      <items count="6">
        <item x="0"/>
        <item x="2"/>
        <item x="1"/>
        <item x="3"/>
        <item x="4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2"/>
  </rowFields>
  <rowItems count="2">
    <i>
      <x/>
    </i>
    <i>
      <x v="1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CF2B17-BBBF-43DE-BBC9-960B4F799F2A}" name="Tabela dinâmica3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41:B47" firstHeaderRow="1" firstDataRow="1" firstDataCol="1"/>
  <pivotFields count="7">
    <pivotField showAll="0">
      <items count="6">
        <item x="0"/>
        <item x="2"/>
        <item x="1"/>
        <item x="3"/>
        <item x="4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axis="axisRow" showAll="0">
      <items count="6">
        <item x="4"/>
        <item x="3"/>
        <item x="2"/>
        <item x="1"/>
        <item x="0"/>
        <item t="default"/>
      </items>
    </pivotField>
    <pivotField showAll="0"/>
    <pivotField dataField="1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Nota" fld="6" showDataAs="percentOfTotal" baseField="0" baseItem="0" numFmtId="1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F0C414-F865-4506-A5DF-53A20F200B3C}" name="Tabela dinâmica2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21:B24" firstHeaderRow="1" firstDataRow="1" firstDataCol="1"/>
  <pivotFields count="7">
    <pivotField showAll="0">
      <items count="6">
        <item x="0"/>
        <item x="2"/>
        <item x="1"/>
        <item x="3"/>
        <item x="4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oma de Nota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85EC45-D4F9-479F-B851-A8358E1395A5}" name="Tabela dinâ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7">
    <pivotField axis="axisRow" showAll="0">
      <items count="6">
        <item x="0"/>
        <item x="2"/>
        <item x="1"/>
        <item x="3"/>
        <item x="4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Nota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089D4394-B652-452F-A982-3CB6601C5AC6}" sourceName="Produto">
  <pivotTables>
    <pivotTable tabId="2" name="Tabela dinâmica1"/>
    <pivotTable tabId="2" name="Tabela dinâmica2"/>
    <pivotTable tabId="2" name="Tabela dinâmica3"/>
    <pivotTable tabId="2" name="Tabela dinâmica4"/>
    <pivotTable tabId="2" name="Tabela dinâmica5"/>
  </pivotTables>
  <data>
    <tabular pivotCacheId="702468481">
      <items count="5">
        <i x="0" s="1"/>
        <i x="2" s="1"/>
        <i x="1" s="1"/>
        <i x="3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quipe" xr10:uid="{E843DF5E-EC15-4F18-99EE-A417DB5B4C1E}" sourceName="Equipe">
  <pivotTables>
    <pivotTable tabId="2" name="Tabela dinâmica1"/>
    <pivotTable tabId="2" name="Tabela dinâmica2"/>
    <pivotTable tabId="2" name="Tabela dinâmica3"/>
    <pivotTable tabId="2" name="Tabela dinâmica4"/>
    <pivotTable tabId="2" name="Tabela dinâmica5"/>
  </pivotTables>
  <data>
    <tabular pivotCacheId="702468481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to" xr10:uid="{1DEB6B96-4A55-446C-8B5F-0093E948414C}" cache="SegmentaçãodeDados_Produto" caption="Produto" columnCount="2" style="REFRI" rowHeight="225425"/>
  <slicer name="Equipe" xr10:uid="{112A0825-DB3E-4CA2-A4FD-7C93CCAF8771}" cache="SegmentaçãodeDados_Equipe" caption="Equipe" columnCount="2" style="REFRI" rowHeight="225425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61"/>
  <sheetViews>
    <sheetView workbookViewId="0">
      <selection sqref="A1:G61"/>
    </sheetView>
  </sheetViews>
  <sheetFormatPr defaultColWidth="12.7109375" defaultRowHeight="15.75" customHeight="1" x14ac:dyDescent="0.2"/>
  <cols>
    <col min="1" max="1" width="16.710937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5</v>
      </c>
    </row>
    <row r="3" spans="1:7" ht="15.75" customHeight="1" x14ac:dyDescent="0.2">
      <c r="A3" s="2" t="s">
        <v>13</v>
      </c>
      <c r="B3" s="2" t="s">
        <v>8</v>
      </c>
      <c r="C3" s="2" t="s">
        <v>9</v>
      </c>
      <c r="D3" s="2" t="s">
        <v>10</v>
      </c>
      <c r="E3" s="2" t="s">
        <v>14</v>
      </c>
      <c r="F3" s="2" t="s">
        <v>15</v>
      </c>
      <c r="G3" s="2">
        <v>3</v>
      </c>
    </row>
    <row r="4" spans="1:7" ht="15.75" customHeight="1" x14ac:dyDescent="0.2">
      <c r="A4" s="2" t="s">
        <v>16</v>
      </c>
      <c r="B4" s="2" t="s">
        <v>17</v>
      </c>
      <c r="C4" s="2" t="s">
        <v>18</v>
      </c>
      <c r="D4" s="2" t="s">
        <v>10</v>
      </c>
      <c r="E4" s="2" t="s">
        <v>19</v>
      </c>
      <c r="F4" s="2" t="s">
        <v>20</v>
      </c>
      <c r="G4" s="2">
        <v>2</v>
      </c>
    </row>
    <row r="5" spans="1:7" ht="15.75" customHeight="1" x14ac:dyDescent="0.2">
      <c r="A5" s="2" t="s">
        <v>21</v>
      </c>
      <c r="B5" s="2" t="s">
        <v>8</v>
      </c>
      <c r="C5" s="2" t="s">
        <v>9</v>
      </c>
      <c r="D5" s="2" t="s">
        <v>10</v>
      </c>
      <c r="E5" s="2" t="s">
        <v>22</v>
      </c>
      <c r="F5" s="2" t="s">
        <v>12</v>
      </c>
      <c r="G5" s="2">
        <v>4</v>
      </c>
    </row>
    <row r="6" spans="1:7" ht="15.75" customHeight="1" x14ac:dyDescent="0.2">
      <c r="A6" s="2" t="s">
        <v>23</v>
      </c>
      <c r="B6" s="2" t="s">
        <v>17</v>
      </c>
      <c r="C6" s="2" t="s">
        <v>18</v>
      </c>
      <c r="D6" s="2" t="s">
        <v>10</v>
      </c>
      <c r="E6" s="2" t="s">
        <v>24</v>
      </c>
      <c r="F6" s="2" t="s">
        <v>12</v>
      </c>
      <c r="G6" s="2">
        <v>5</v>
      </c>
    </row>
    <row r="7" spans="1:7" ht="15.75" customHeight="1" x14ac:dyDescent="0.2">
      <c r="A7" s="2" t="s">
        <v>7</v>
      </c>
      <c r="B7" s="2" t="s">
        <v>8</v>
      </c>
      <c r="C7" s="2" t="s">
        <v>9</v>
      </c>
      <c r="D7" s="2" t="s">
        <v>25</v>
      </c>
      <c r="E7" s="2" t="s">
        <v>11</v>
      </c>
      <c r="F7" s="2" t="s">
        <v>20</v>
      </c>
      <c r="G7" s="2">
        <v>2</v>
      </c>
    </row>
    <row r="8" spans="1:7" ht="15.75" customHeight="1" x14ac:dyDescent="0.2">
      <c r="A8" s="2" t="s">
        <v>13</v>
      </c>
      <c r="B8" s="2" t="s">
        <v>8</v>
      </c>
      <c r="C8" s="2" t="s">
        <v>9</v>
      </c>
      <c r="D8" s="2" t="s">
        <v>25</v>
      </c>
      <c r="E8" s="2" t="s">
        <v>14</v>
      </c>
      <c r="F8" s="2" t="s">
        <v>15</v>
      </c>
      <c r="G8" s="2">
        <v>3</v>
      </c>
    </row>
    <row r="9" spans="1:7" ht="15.75" customHeight="1" x14ac:dyDescent="0.2">
      <c r="A9" s="2" t="s">
        <v>16</v>
      </c>
      <c r="B9" s="2" t="s">
        <v>17</v>
      </c>
      <c r="C9" s="2" t="s">
        <v>18</v>
      </c>
      <c r="D9" s="2" t="s">
        <v>25</v>
      </c>
      <c r="E9" s="2" t="s">
        <v>19</v>
      </c>
      <c r="F9" s="2" t="s">
        <v>15</v>
      </c>
      <c r="G9" s="2">
        <v>3</v>
      </c>
    </row>
    <row r="10" spans="1:7" ht="15.75" customHeight="1" x14ac:dyDescent="0.2">
      <c r="A10" s="2" t="s">
        <v>21</v>
      </c>
      <c r="B10" s="2" t="s">
        <v>8</v>
      </c>
      <c r="C10" s="2" t="s">
        <v>9</v>
      </c>
      <c r="D10" s="2" t="s">
        <v>25</v>
      </c>
      <c r="E10" s="2" t="s">
        <v>22</v>
      </c>
      <c r="F10" s="2" t="s">
        <v>20</v>
      </c>
      <c r="G10" s="2">
        <v>1</v>
      </c>
    </row>
    <row r="11" spans="1:7" ht="15.75" customHeight="1" x14ac:dyDescent="0.2">
      <c r="A11" s="2" t="s">
        <v>23</v>
      </c>
      <c r="B11" s="2" t="s">
        <v>17</v>
      </c>
      <c r="C11" s="2" t="s">
        <v>18</v>
      </c>
      <c r="D11" s="2" t="s">
        <v>25</v>
      </c>
      <c r="E11" s="2" t="s">
        <v>24</v>
      </c>
      <c r="F11" s="2" t="s">
        <v>20</v>
      </c>
      <c r="G11" s="2">
        <v>1</v>
      </c>
    </row>
    <row r="12" spans="1:7" ht="15.75" customHeight="1" x14ac:dyDescent="0.2">
      <c r="A12" s="2" t="s">
        <v>7</v>
      </c>
      <c r="B12" s="2" t="s">
        <v>8</v>
      </c>
      <c r="C12" s="2" t="s">
        <v>9</v>
      </c>
      <c r="D12" s="2" t="s">
        <v>26</v>
      </c>
      <c r="E12" s="2" t="s">
        <v>11</v>
      </c>
      <c r="F12" s="2" t="s">
        <v>15</v>
      </c>
      <c r="G12" s="2">
        <v>3</v>
      </c>
    </row>
    <row r="13" spans="1:7" ht="15.75" customHeight="1" x14ac:dyDescent="0.2">
      <c r="A13" s="2" t="s">
        <v>13</v>
      </c>
      <c r="B13" s="2" t="s">
        <v>8</v>
      </c>
      <c r="C13" s="2" t="s">
        <v>9</v>
      </c>
      <c r="D13" s="2" t="s">
        <v>26</v>
      </c>
      <c r="E13" s="2" t="s">
        <v>14</v>
      </c>
      <c r="F13" s="2" t="s">
        <v>12</v>
      </c>
      <c r="G13" s="2">
        <v>4</v>
      </c>
    </row>
    <row r="14" spans="1:7" ht="15.75" customHeight="1" x14ac:dyDescent="0.2">
      <c r="A14" s="2" t="s">
        <v>16</v>
      </c>
      <c r="B14" s="2" t="s">
        <v>17</v>
      </c>
      <c r="C14" s="2" t="s">
        <v>18</v>
      </c>
      <c r="D14" s="2" t="s">
        <v>26</v>
      </c>
      <c r="E14" s="2" t="s">
        <v>19</v>
      </c>
      <c r="F14" s="2" t="s">
        <v>12</v>
      </c>
      <c r="G14" s="2">
        <v>4</v>
      </c>
    </row>
    <row r="15" spans="1:7" ht="15.75" customHeight="1" x14ac:dyDescent="0.2">
      <c r="A15" s="2" t="s">
        <v>21</v>
      </c>
      <c r="B15" s="2" t="s">
        <v>8</v>
      </c>
      <c r="C15" s="2" t="s">
        <v>9</v>
      </c>
      <c r="D15" s="2" t="s">
        <v>26</v>
      </c>
      <c r="E15" s="2" t="s">
        <v>22</v>
      </c>
      <c r="F15" s="2" t="s">
        <v>15</v>
      </c>
      <c r="G15" s="2">
        <v>3</v>
      </c>
    </row>
    <row r="16" spans="1:7" ht="15.75" customHeight="1" x14ac:dyDescent="0.2">
      <c r="A16" s="2" t="s">
        <v>23</v>
      </c>
      <c r="B16" s="2" t="s">
        <v>17</v>
      </c>
      <c r="C16" s="2" t="s">
        <v>18</v>
      </c>
      <c r="D16" s="2" t="s">
        <v>26</v>
      </c>
      <c r="E16" s="2" t="s">
        <v>24</v>
      </c>
      <c r="F16" s="2" t="s">
        <v>12</v>
      </c>
      <c r="G16" s="2">
        <v>4</v>
      </c>
    </row>
    <row r="17" spans="1:7" ht="15.75" customHeight="1" x14ac:dyDescent="0.2">
      <c r="A17" s="2" t="s">
        <v>7</v>
      </c>
      <c r="B17" s="2" t="s">
        <v>8</v>
      </c>
      <c r="C17" s="2" t="s">
        <v>9</v>
      </c>
      <c r="D17" s="2" t="s">
        <v>27</v>
      </c>
      <c r="E17" s="2" t="s">
        <v>11</v>
      </c>
      <c r="F17" s="2" t="s">
        <v>20</v>
      </c>
      <c r="G17" s="2">
        <v>2</v>
      </c>
    </row>
    <row r="18" spans="1:7" ht="15.75" customHeight="1" x14ac:dyDescent="0.2">
      <c r="A18" s="2" t="s">
        <v>13</v>
      </c>
      <c r="B18" s="2" t="s">
        <v>8</v>
      </c>
      <c r="C18" s="2" t="s">
        <v>9</v>
      </c>
      <c r="D18" s="2" t="s">
        <v>27</v>
      </c>
      <c r="E18" s="2" t="s">
        <v>14</v>
      </c>
      <c r="F18" s="2" t="s">
        <v>12</v>
      </c>
      <c r="G18" s="2">
        <v>5</v>
      </c>
    </row>
    <row r="19" spans="1:7" ht="15.75" customHeight="1" x14ac:dyDescent="0.2">
      <c r="A19" s="2" t="s">
        <v>16</v>
      </c>
      <c r="B19" s="2" t="s">
        <v>17</v>
      </c>
      <c r="C19" s="2" t="s">
        <v>18</v>
      </c>
      <c r="D19" s="2" t="s">
        <v>27</v>
      </c>
      <c r="E19" s="2" t="s">
        <v>19</v>
      </c>
      <c r="F19" s="2" t="s">
        <v>20</v>
      </c>
      <c r="G19" s="2">
        <v>1</v>
      </c>
    </row>
    <row r="20" spans="1:7" ht="15.75" customHeight="1" x14ac:dyDescent="0.2">
      <c r="A20" s="2" t="s">
        <v>21</v>
      </c>
      <c r="B20" s="2" t="s">
        <v>8</v>
      </c>
      <c r="C20" s="2" t="s">
        <v>9</v>
      </c>
      <c r="D20" s="2" t="s">
        <v>27</v>
      </c>
      <c r="E20" s="2" t="s">
        <v>22</v>
      </c>
      <c r="F20" s="2" t="s">
        <v>12</v>
      </c>
      <c r="G20" s="2">
        <v>5</v>
      </c>
    </row>
    <row r="21" spans="1:7" ht="15.75" customHeight="1" x14ac:dyDescent="0.2">
      <c r="A21" s="2" t="s">
        <v>23</v>
      </c>
      <c r="B21" s="2" t="s">
        <v>17</v>
      </c>
      <c r="C21" s="2" t="s">
        <v>18</v>
      </c>
      <c r="D21" s="2" t="s">
        <v>27</v>
      </c>
      <c r="E21" s="2" t="s">
        <v>24</v>
      </c>
      <c r="F21" s="2" t="s">
        <v>15</v>
      </c>
      <c r="G21" s="2">
        <v>3</v>
      </c>
    </row>
    <row r="22" spans="1:7" ht="15.75" customHeight="1" x14ac:dyDescent="0.2">
      <c r="A22" s="2" t="s">
        <v>7</v>
      </c>
      <c r="B22" s="2" t="s">
        <v>8</v>
      </c>
      <c r="C22" s="2" t="s">
        <v>9</v>
      </c>
      <c r="D22" s="2" t="s">
        <v>28</v>
      </c>
      <c r="E22" s="2" t="s">
        <v>11</v>
      </c>
      <c r="F22" s="2" t="s">
        <v>20</v>
      </c>
      <c r="G22" s="2">
        <v>1</v>
      </c>
    </row>
    <row r="23" spans="1:7" ht="15.75" customHeight="1" x14ac:dyDescent="0.2">
      <c r="A23" s="2" t="s">
        <v>13</v>
      </c>
      <c r="B23" s="2" t="s">
        <v>8</v>
      </c>
      <c r="C23" s="2" t="s">
        <v>9</v>
      </c>
      <c r="D23" s="2" t="s">
        <v>28</v>
      </c>
      <c r="E23" s="2" t="s">
        <v>14</v>
      </c>
      <c r="F23" s="2" t="s">
        <v>12</v>
      </c>
      <c r="G23" s="2">
        <v>4</v>
      </c>
    </row>
    <row r="24" spans="1:7" ht="15.75" customHeight="1" x14ac:dyDescent="0.2">
      <c r="A24" s="2" t="s">
        <v>16</v>
      </c>
      <c r="B24" s="2" t="s">
        <v>17</v>
      </c>
      <c r="C24" s="2" t="s">
        <v>18</v>
      </c>
      <c r="D24" s="2" t="s">
        <v>28</v>
      </c>
      <c r="E24" s="2" t="s">
        <v>19</v>
      </c>
      <c r="F24" s="2" t="s">
        <v>15</v>
      </c>
      <c r="G24" s="2">
        <v>3</v>
      </c>
    </row>
    <row r="25" spans="1:7" ht="15.75" customHeight="1" x14ac:dyDescent="0.2">
      <c r="A25" s="2" t="s">
        <v>21</v>
      </c>
      <c r="B25" s="2" t="s">
        <v>8</v>
      </c>
      <c r="C25" s="2" t="s">
        <v>9</v>
      </c>
      <c r="D25" s="2" t="s">
        <v>28</v>
      </c>
      <c r="E25" s="2" t="s">
        <v>22</v>
      </c>
      <c r="F25" s="2" t="s">
        <v>15</v>
      </c>
      <c r="G25" s="2">
        <v>3</v>
      </c>
    </row>
    <row r="26" spans="1:7" ht="15.75" customHeight="1" x14ac:dyDescent="0.2">
      <c r="A26" s="2" t="s">
        <v>23</v>
      </c>
      <c r="B26" s="2" t="s">
        <v>17</v>
      </c>
      <c r="C26" s="2" t="s">
        <v>18</v>
      </c>
      <c r="D26" s="2" t="s">
        <v>28</v>
      </c>
      <c r="E26" s="2" t="s">
        <v>24</v>
      </c>
      <c r="F26" s="2" t="s">
        <v>12</v>
      </c>
      <c r="G26" s="2">
        <v>4</v>
      </c>
    </row>
    <row r="27" spans="1:7" ht="15.75" customHeight="1" x14ac:dyDescent="0.2">
      <c r="A27" s="2" t="s">
        <v>7</v>
      </c>
      <c r="B27" s="2" t="s">
        <v>8</v>
      </c>
      <c r="C27" s="2" t="s">
        <v>9</v>
      </c>
      <c r="D27" s="2" t="s">
        <v>29</v>
      </c>
      <c r="E27" s="2" t="s">
        <v>11</v>
      </c>
      <c r="F27" s="2" t="s">
        <v>15</v>
      </c>
      <c r="G27" s="2">
        <v>3</v>
      </c>
    </row>
    <row r="28" spans="1:7" ht="15.75" customHeight="1" x14ac:dyDescent="0.2">
      <c r="A28" s="2" t="s">
        <v>13</v>
      </c>
      <c r="B28" s="2" t="s">
        <v>8</v>
      </c>
      <c r="C28" s="2" t="s">
        <v>9</v>
      </c>
      <c r="D28" s="2" t="s">
        <v>29</v>
      </c>
      <c r="E28" s="2" t="s">
        <v>14</v>
      </c>
      <c r="F28" s="2" t="s">
        <v>12</v>
      </c>
      <c r="G28" s="2">
        <v>5</v>
      </c>
    </row>
    <row r="29" spans="1:7" ht="15.75" customHeight="1" x14ac:dyDescent="0.2">
      <c r="A29" s="2" t="s">
        <v>16</v>
      </c>
      <c r="B29" s="2" t="s">
        <v>17</v>
      </c>
      <c r="C29" s="2" t="s">
        <v>18</v>
      </c>
      <c r="D29" s="2" t="s">
        <v>29</v>
      </c>
      <c r="E29" s="2" t="s">
        <v>19</v>
      </c>
      <c r="F29" s="2" t="s">
        <v>12</v>
      </c>
      <c r="G29" s="2">
        <v>5</v>
      </c>
    </row>
    <row r="30" spans="1:7" ht="15.75" customHeight="1" x14ac:dyDescent="0.2">
      <c r="A30" s="2" t="s">
        <v>21</v>
      </c>
      <c r="B30" s="2" t="s">
        <v>8</v>
      </c>
      <c r="C30" s="2" t="s">
        <v>9</v>
      </c>
      <c r="D30" s="2" t="s">
        <v>29</v>
      </c>
      <c r="E30" s="2" t="s">
        <v>22</v>
      </c>
      <c r="F30" s="2" t="s">
        <v>12</v>
      </c>
      <c r="G30" s="2">
        <v>4</v>
      </c>
    </row>
    <row r="31" spans="1:7" ht="15.75" customHeight="1" x14ac:dyDescent="0.2">
      <c r="A31" s="2" t="s">
        <v>23</v>
      </c>
      <c r="B31" s="2" t="s">
        <v>17</v>
      </c>
      <c r="C31" s="2" t="s">
        <v>18</v>
      </c>
      <c r="D31" s="2" t="s">
        <v>29</v>
      </c>
      <c r="E31" s="2" t="s">
        <v>24</v>
      </c>
      <c r="F31" s="2" t="s">
        <v>20</v>
      </c>
      <c r="G31" s="2">
        <v>1</v>
      </c>
    </row>
    <row r="32" spans="1:7" ht="15.75" customHeight="1" x14ac:dyDescent="0.2">
      <c r="A32" s="2" t="s">
        <v>7</v>
      </c>
      <c r="B32" s="2" t="s">
        <v>8</v>
      </c>
      <c r="C32" s="2" t="s">
        <v>9</v>
      </c>
      <c r="D32" s="2" t="s">
        <v>30</v>
      </c>
      <c r="E32" s="2" t="s">
        <v>11</v>
      </c>
      <c r="F32" s="2" t="s">
        <v>12</v>
      </c>
      <c r="G32" s="2">
        <v>5</v>
      </c>
    </row>
    <row r="33" spans="1:7" ht="15.75" customHeight="1" x14ac:dyDescent="0.2">
      <c r="A33" s="2" t="s">
        <v>13</v>
      </c>
      <c r="B33" s="2" t="s">
        <v>8</v>
      </c>
      <c r="C33" s="2" t="s">
        <v>9</v>
      </c>
      <c r="D33" s="2" t="s">
        <v>30</v>
      </c>
      <c r="E33" s="2" t="s">
        <v>14</v>
      </c>
      <c r="F33" s="2" t="s">
        <v>12</v>
      </c>
      <c r="G33" s="2">
        <v>5</v>
      </c>
    </row>
    <row r="34" spans="1:7" ht="15.75" customHeight="1" x14ac:dyDescent="0.2">
      <c r="A34" s="2" t="s">
        <v>16</v>
      </c>
      <c r="B34" s="2" t="s">
        <v>17</v>
      </c>
      <c r="C34" s="2" t="s">
        <v>18</v>
      </c>
      <c r="D34" s="2" t="s">
        <v>30</v>
      </c>
      <c r="E34" s="2" t="s">
        <v>19</v>
      </c>
      <c r="F34" s="2" t="s">
        <v>20</v>
      </c>
      <c r="G34" s="2">
        <v>1</v>
      </c>
    </row>
    <row r="35" spans="1:7" ht="15.75" customHeight="1" x14ac:dyDescent="0.2">
      <c r="A35" s="2" t="s">
        <v>21</v>
      </c>
      <c r="B35" s="2" t="s">
        <v>8</v>
      </c>
      <c r="C35" s="2" t="s">
        <v>9</v>
      </c>
      <c r="D35" s="2" t="s">
        <v>30</v>
      </c>
      <c r="E35" s="2" t="s">
        <v>22</v>
      </c>
      <c r="F35" s="2" t="s">
        <v>12</v>
      </c>
      <c r="G35" s="2">
        <v>4</v>
      </c>
    </row>
    <row r="36" spans="1:7" ht="15.75" customHeight="1" x14ac:dyDescent="0.2">
      <c r="A36" s="2" t="s">
        <v>23</v>
      </c>
      <c r="B36" s="2" t="s">
        <v>17</v>
      </c>
      <c r="C36" s="2" t="s">
        <v>18</v>
      </c>
      <c r="D36" s="2" t="s">
        <v>30</v>
      </c>
      <c r="E36" s="2" t="s">
        <v>24</v>
      </c>
      <c r="F36" s="2" t="s">
        <v>12</v>
      </c>
      <c r="G36" s="2">
        <v>4</v>
      </c>
    </row>
    <row r="37" spans="1:7" ht="12.75" x14ac:dyDescent="0.2">
      <c r="A37" s="2" t="s">
        <v>7</v>
      </c>
      <c r="B37" s="2" t="s">
        <v>8</v>
      </c>
      <c r="C37" s="2" t="s">
        <v>9</v>
      </c>
      <c r="D37" s="2" t="s">
        <v>31</v>
      </c>
      <c r="E37" s="2" t="s">
        <v>11</v>
      </c>
      <c r="F37" s="2" t="s">
        <v>15</v>
      </c>
      <c r="G37" s="2">
        <v>3</v>
      </c>
    </row>
    <row r="38" spans="1:7" ht="12.75" x14ac:dyDescent="0.2">
      <c r="A38" s="2" t="s">
        <v>13</v>
      </c>
      <c r="B38" s="2" t="s">
        <v>8</v>
      </c>
      <c r="C38" s="2" t="s">
        <v>9</v>
      </c>
      <c r="D38" s="2" t="s">
        <v>31</v>
      </c>
      <c r="E38" s="2" t="s">
        <v>14</v>
      </c>
      <c r="F38" s="2" t="s">
        <v>15</v>
      </c>
      <c r="G38" s="2">
        <v>3</v>
      </c>
    </row>
    <row r="39" spans="1:7" ht="12.75" x14ac:dyDescent="0.2">
      <c r="A39" s="2" t="s">
        <v>16</v>
      </c>
      <c r="B39" s="2" t="s">
        <v>17</v>
      </c>
      <c r="C39" s="2" t="s">
        <v>18</v>
      </c>
      <c r="D39" s="2" t="s">
        <v>31</v>
      </c>
      <c r="E39" s="2" t="s">
        <v>19</v>
      </c>
      <c r="F39" s="2" t="s">
        <v>20</v>
      </c>
      <c r="G39" s="2">
        <v>2</v>
      </c>
    </row>
    <row r="40" spans="1:7" ht="12.75" x14ac:dyDescent="0.2">
      <c r="A40" s="2" t="s">
        <v>21</v>
      </c>
      <c r="B40" s="2" t="s">
        <v>8</v>
      </c>
      <c r="C40" s="2" t="s">
        <v>9</v>
      </c>
      <c r="D40" s="2" t="s">
        <v>31</v>
      </c>
      <c r="E40" s="2" t="s">
        <v>22</v>
      </c>
      <c r="F40" s="2" t="s">
        <v>12</v>
      </c>
      <c r="G40" s="2">
        <v>5</v>
      </c>
    </row>
    <row r="41" spans="1:7" ht="12.75" x14ac:dyDescent="0.2">
      <c r="A41" s="2" t="s">
        <v>23</v>
      </c>
      <c r="B41" s="2" t="s">
        <v>17</v>
      </c>
      <c r="C41" s="2" t="s">
        <v>18</v>
      </c>
      <c r="D41" s="2" t="s">
        <v>31</v>
      </c>
      <c r="E41" s="2" t="s">
        <v>24</v>
      </c>
      <c r="F41" s="2" t="s">
        <v>20</v>
      </c>
      <c r="G41" s="2">
        <v>2</v>
      </c>
    </row>
    <row r="42" spans="1:7" ht="12.75" x14ac:dyDescent="0.2">
      <c r="A42" s="2" t="s">
        <v>7</v>
      </c>
      <c r="B42" s="2" t="s">
        <v>8</v>
      </c>
      <c r="C42" s="2" t="s">
        <v>9</v>
      </c>
      <c r="D42" s="2" t="s">
        <v>32</v>
      </c>
      <c r="E42" s="2" t="s">
        <v>11</v>
      </c>
      <c r="F42" s="2" t="s">
        <v>12</v>
      </c>
      <c r="G42" s="2">
        <v>5</v>
      </c>
    </row>
    <row r="43" spans="1:7" ht="12.75" x14ac:dyDescent="0.2">
      <c r="A43" s="2" t="s">
        <v>13</v>
      </c>
      <c r="B43" s="2" t="s">
        <v>8</v>
      </c>
      <c r="C43" s="2" t="s">
        <v>9</v>
      </c>
      <c r="D43" s="2" t="s">
        <v>32</v>
      </c>
      <c r="E43" s="2" t="s">
        <v>14</v>
      </c>
      <c r="F43" s="2" t="s">
        <v>15</v>
      </c>
      <c r="G43" s="2">
        <v>3</v>
      </c>
    </row>
    <row r="44" spans="1:7" ht="12.75" x14ac:dyDescent="0.2">
      <c r="A44" s="2" t="s">
        <v>16</v>
      </c>
      <c r="B44" s="2" t="s">
        <v>17</v>
      </c>
      <c r="C44" s="2" t="s">
        <v>18</v>
      </c>
      <c r="D44" s="2" t="s">
        <v>32</v>
      </c>
      <c r="E44" s="2" t="s">
        <v>19</v>
      </c>
      <c r="F44" s="2" t="s">
        <v>15</v>
      </c>
      <c r="G44" s="2">
        <v>3</v>
      </c>
    </row>
    <row r="45" spans="1:7" ht="12.75" x14ac:dyDescent="0.2">
      <c r="A45" s="2" t="s">
        <v>21</v>
      </c>
      <c r="B45" s="2" t="s">
        <v>8</v>
      </c>
      <c r="C45" s="2" t="s">
        <v>9</v>
      </c>
      <c r="D45" s="2" t="s">
        <v>32</v>
      </c>
      <c r="E45" s="2" t="s">
        <v>22</v>
      </c>
      <c r="F45" s="2" t="s">
        <v>12</v>
      </c>
      <c r="G45" s="2">
        <v>4</v>
      </c>
    </row>
    <row r="46" spans="1:7" ht="12.75" x14ac:dyDescent="0.2">
      <c r="A46" s="2" t="s">
        <v>23</v>
      </c>
      <c r="B46" s="2" t="s">
        <v>17</v>
      </c>
      <c r="C46" s="2" t="s">
        <v>18</v>
      </c>
      <c r="D46" s="2" t="s">
        <v>32</v>
      </c>
      <c r="E46" s="2" t="s">
        <v>24</v>
      </c>
      <c r="F46" s="2" t="s">
        <v>12</v>
      </c>
      <c r="G46" s="2">
        <v>5</v>
      </c>
    </row>
    <row r="47" spans="1:7" ht="12.75" x14ac:dyDescent="0.2">
      <c r="A47" s="2" t="s">
        <v>7</v>
      </c>
      <c r="B47" s="2" t="s">
        <v>8</v>
      </c>
      <c r="C47" s="2" t="s">
        <v>9</v>
      </c>
      <c r="D47" s="2" t="s">
        <v>33</v>
      </c>
      <c r="E47" s="2" t="s">
        <v>11</v>
      </c>
      <c r="F47" s="2" t="s">
        <v>12</v>
      </c>
      <c r="G47" s="2">
        <v>4</v>
      </c>
    </row>
    <row r="48" spans="1:7" ht="12.75" x14ac:dyDescent="0.2">
      <c r="A48" s="2" t="s">
        <v>13</v>
      </c>
      <c r="B48" s="2" t="s">
        <v>8</v>
      </c>
      <c r="C48" s="2" t="s">
        <v>9</v>
      </c>
      <c r="D48" s="2" t="s">
        <v>33</v>
      </c>
      <c r="E48" s="2" t="s">
        <v>14</v>
      </c>
      <c r="F48" s="2" t="s">
        <v>20</v>
      </c>
      <c r="G48" s="2">
        <v>2</v>
      </c>
    </row>
    <row r="49" spans="1:7" ht="12.75" x14ac:dyDescent="0.2">
      <c r="A49" s="2" t="s">
        <v>16</v>
      </c>
      <c r="B49" s="2" t="s">
        <v>17</v>
      </c>
      <c r="C49" s="2" t="s">
        <v>18</v>
      </c>
      <c r="D49" s="2" t="s">
        <v>33</v>
      </c>
      <c r="E49" s="2" t="s">
        <v>19</v>
      </c>
      <c r="F49" s="2" t="s">
        <v>15</v>
      </c>
      <c r="G49" s="2">
        <v>3</v>
      </c>
    </row>
    <row r="50" spans="1:7" ht="12.75" x14ac:dyDescent="0.2">
      <c r="A50" s="2" t="s">
        <v>21</v>
      </c>
      <c r="B50" s="2" t="s">
        <v>8</v>
      </c>
      <c r="C50" s="2" t="s">
        <v>9</v>
      </c>
      <c r="D50" s="2" t="s">
        <v>33</v>
      </c>
      <c r="E50" s="2" t="s">
        <v>22</v>
      </c>
      <c r="F50" s="2" t="s">
        <v>12</v>
      </c>
      <c r="G50" s="2">
        <v>5</v>
      </c>
    </row>
    <row r="51" spans="1:7" ht="12.75" x14ac:dyDescent="0.2">
      <c r="A51" s="2" t="s">
        <v>23</v>
      </c>
      <c r="B51" s="2" t="s">
        <v>17</v>
      </c>
      <c r="C51" s="2" t="s">
        <v>18</v>
      </c>
      <c r="D51" s="2" t="s">
        <v>33</v>
      </c>
      <c r="E51" s="2" t="s">
        <v>24</v>
      </c>
      <c r="F51" s="2" t="s">
        <v>12</v>
      </c>
      <c r="G51" s="2">
        <v>4</v>
      </c>
    </row>
    <row r="52" spans="1:7" ht="12.75" x14ac:dyDescent="0.2">
      <c r="A52" s="2" t="s">
        <v>7</v>
      </c>
      <c r="B52" s="2" t="s">
        <v>8</v>
      </c>
      <c r="C52" s="2" t="s">
        <v>9</v>
      </c>
      <c r="D52" s="2" t="s">
        <v>34</v>
      </c>
      <c r="E52" s="2" t="s">
        <v>11</v>
      </c>
      <c r="F52" s="2" t="s">
        <v>20</v>
      </c>
      <c r="G52" s="2">
        <v>2</v>
      </c>
    </row>
    <row r="53" spans="1:7" ht="12.75" x14ac:dyDescent="0.2">
      <c r="A53" s="2" t="s">
        <v>13</v>
      </c>
      <c r="B53" s="2" t="s">
        <v>8</v>
      </c>
      <c r="C53" s="2" t="s">
        <v>9</v>
      </c>
      <c r="D53" s="2" t="s">
        <v>34</v>
      </c>
      <c r="E53" s="2" t="s">
        <v>14</v>
      </c>
      <c r="F53" s="2" t="s">
        <v>12</v>
      </c>
      <c r="G53" s="2">
        <v>5</v>
      </c>
    </row>
    <row r="54" spans="1:7" ht="12.75" x14ac:dyDescent="0.2">
      <c r="A54" s="2" t="s">
        <v>16</v>
      </c>
      <c r="B54" s="2" t="s">
        <v>17</v>
      </c>
      <c r="C54" s="2" t="s">
        <v>18</v>
      </c>
      <c r="D54" s="2" t="s">
        <v>34</v>
      </c>
      <c r="E54" s="2" t="s">
        <v>19</v>
      </c>
      <c r="F54" s="2" t="s">
        <v>15</v>
      </c>
      <c r="G54" s="2">
        <v>3</v>
      </c>
    </row>
    <row r="55" spans="1:7" ht="12.75" x14ac:dyDescent="0.2">
      <c r="A55" s="2" t="s">
        <v>21</v>
      </c>
      <c r="B55" s="2" t="s">
        <v>8</v>
      </c>
      <c r="C55" s="2" t="s">
        <v>9</v>
      </c>
      <c r="D55" s="2" t="s">
        <v>34</v>
      </c>
      <c r="E55" s="2" t="s">
        <v>22</v>
      </c>
      <c r="F55" s="2" t="s">
        <v>12</v>
      </c>
      <c r="G55" s="2">
        <v>5</v>
      </c>
    </row>
    <row r="56" spans="1:7" ht="12.75" x14ac:dyDescent="0.2">
      <c r="A56" s="2" t="s">
        <v>23</v>
      </c>
      <c r="B56" s="2" t="s">
        <v>17</v>
      </c>
      <c r="C56" s="2" t="s">
        <v>18</v>
      </c>
      <c r="D56" s="2" t="s">
        <v>34</v>
      </c>
      <c r="E56" s="2" t="s">
        <v>24</v>
      </c>
      <c r="F56" s="2" t="s">
        <v>15</v>
      </c>
      <c r="G56" s="2">
        <v>3</v>
      </c>
    </row>
    <row r="57" spans="1:7" ht="12.75" x14ac:dyDescent="0.2">
      <c r="A57" s="2" t="s">
        <v>7</v>
      </c>
      <c r="B57" s="2" t="s">
        <v>8</v>
      </c>
      <c r="C57" s="2" t="s">
        <v>9</v>
      </c>
      <c r="D57" s="2" t="s">
        <v>35</v>
      </c>
      <c r="E57" s="2" t="s">
        <v>11</v>
      </c>
      <c r="F57" s="2" t="s">
        <v>20</v>
      </c>
      <c r="G57" s="2">
        <v>1</v>
      </c>
    </row>
    <row r="58" spans="1:7" ht="12.75" x14ac:dyDescent="0.2">
      <c r="A58" s="2" t="s">
        <v>13</v>
      </c>
      <c r="B58" s="2" t="s">
        <v>8</v>
      </c>
      <c r="C58" s="2" t="s">
        <v>9</v>
      </c>
      <c r="D58" s="2" t="s">
        <v>35</v>
      </c>
      <c r="E58" s="2" t="s">
        <v>14</v>
      </c>
      <c r="F58" s="2" t="s">
        <v>15</v>
      </c>
      <c r="G58" s="2">
        <v>3</v>
      </c>
    </row>
    <row r="59" spans="1:7" ht="12.75" x14ac:dyDescent="0.2">
      <c r="A59" s="2" t="s">
        <v>16</v>
      </c>
      <c r="B59" s="2" t="s">
        <v>17</v>
      </c>
      <c r="C59" s="2" t="s">
        <v>18</v>
      </c>
      <c r="D59" s="2" t="s">
        <v>35</v>
      </c>
      <c r="E59" s="2" t="s">
        <v>19</v>
      </c>
      <c r="F59" s="2" t="s">
        <v>12</v>
      </c>
      <c r="G59" s="2">
        <v>4</v>
      </c>
    </row>
    <row r="60" spans="1:7" ht="12.75" x14ac:dyDescent="0.2">
      <c r="A60" s="2" t="s">
        <v>21</v>
      </c>
      <c r="B60" s="2" t="s">
        <v>8</v>
      </c>
      <c r="C60" s="2" t="s">
        <v>9</v>
      </c>
      <c r="D60" s="2" t="s">
        <v>35</v>
      </c>
      <c r="E60" s="2" t="s">
        <v>22</v>
      </c>
      <c r="F60" s="2" t="s">
        <v>20</v>
      </c>
      <c r="G60" s="2">
        <v>2</v>
      </c>
    </row>
    <row r="61" spans="1:7" ht="12.75" x14ac:dyDescent="0.2">
      <c r="A61" s="2" t="s">
        <v>23</v>
      </c>
      <c r="B61" s="2" t="s">
        <v>17</v>
      </c>
      <c r="C61" s="2" t="s">
        <v>18</v>
      </c>
      <c r="D61" s="2" t="s">
        <v>35</v>
      </c>
      <c r="E61" s="2" t="s">
        <v>24</v>
      </c>
      <c r="F61" s="2" t="s">
        <v>12</v>
      </c>
      <c r="G61" s="2">
        <v>5</v>
      </c>
    </row>
  </sheetData>
  <customSheetViews>
    <customSheetView guid="{F5200A45-646E-4D3B-AE83-0A946F8E6943}" filter="1" showAutoFilter="1">
      <pageMargins left="0.511811024" right="0.511811024" top="0.78740157499999996" bottom="0.78740157499999996" header="0.31496062000000002" footer="0.31496062000000002"/>
      <autoFilter ref="A1:G61" xr:uid="{97566C14-FC16-4951-90A8-1A1448B86F10}"/>
    </customSheetView>
  </customSheetView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F784D-DE14-4B7B-8027-56FC7D72844C}">
  <dimension ref="A3:E58"/>
  <sheetViews>
    <sheetView topLeftCell="A16" workbookViewId="0">
      <selection activeCell="C42" sqref="C42"/>
    </sheetView>
  </sheetViews>
  <sheetFormatPr defaultRowHeight="12.75" x14ac:dyDescent="0.2"/>
  <cols>
    <col min="1" max="1" width="18.7109375" bestFit="1" customWidth="1"/>
    <col min="2" max="2" width="14" bestFit="1" customWidth="1"/>
    <col min="4" max="4" width="11.42578125" customWidth="1"/>
  </cols>
  <sheetData>
    <row r="3" spans="1:2" x14ac:dyDescent="0.2">
      <c r="A3" s="3" t="s">
        <v>36</v>
      </c>
      <c r="B3" t="s">
        <v>38</v>
      </c>
    </row>
    <row r="4" spans="1:2" x14ac:dyDescent="0.2">
      <c r="A4" s="4" t="s">
        <v>7</v>
      </c>
      <c r="B4" s="5">
        <v>36</v>
      </c>
    </row>
    <row r="5" spans="1:2" x14ac:dyDescent="0.2">
      <c r="A5" s="4" t="s">
        <v>16</v>
      </c>
      <c r="B5" s="5">
        <v>34</v>
      </c>
    </row>
    <row r="6" spans="1:2" x14ac:dyDescent="0.2">
      <c r="A6" s="4" t="s">
        <v>13</v>
      </c>
      <c r="B6" s="5">
        <v>45</v>
      </c>
    </row>
    <row r="7" spans="1:2" x14ac:dyDescent="0.2">
      <c r="A7" s="4" t="s">
        <v>21</v>
      </c>
      <c r="B7" s="5">
        <v>45</v>
      </c>
    </row>
    <row r="8" spans="1:2" x14ac:dyDescent="0.2">
      <c r="A8" s="4" t="s">
        <v>23</v>
      </c>
      <c r="B8" s="5">
        <v>41</v>
      </c>
    </row>
    <row r="9" spans="1:2" x14ac:dyDescent="0.2">
      <c r="A9" s="4" t="s">
        <v>37</v>
      </c>
      <c r="B9" s="5">
        <v>201</v>
      </c>
    </row>
    <row r="21" spans="1:2" x14ac:dyDescent="0.2">
      <c r="A21" s="3" t="s">
        <v>36</v>
      </c>
      <c r="B21" t="s">
        <v>38</v>
      </c>
    </row>
    <row r="22" spans="1:2" x14ac:dyDescent="0.2">
      <c r="A22" s="4" t="s">
        <v>8</v>
      </c>
      <c r="B22" s="5">
        <v>126</v>
      </c>
    </row>
    <row r="23" spans="1:2" x14ac:dyDescent="0.2">
      <c r="A23" s="4" t="s">
        <v>17</v>
      </c>
      <c r="B23" s="5">
        <v>75</v>
      </c>
    </row>
    <row r="24" spans="1:2" x14ac:dyDescent="0.2">
      <c r="A24" s="4" t="s">
        <v>37</v>
      </c>
      <c r="B24" s="5">
        <v>201</v>
      </c>
    </row>
    <row r="41" spans="1:2" x14ac:dyDescent="0.2">
      <c r="A41" s="3" t="s">
        <v>36</v>
      </c>
      <c r="B41" t="s">
        <v>38</v>
      </c>
    </row>
    <row r="42" spans="1:2" x14ac:dyDescent="0.2">
      <c r="A42" s="4" t="s">
        <v>24</v>
      </c>
      <c r="B42" s="9">
        <v>0.20398009950248755</v>
      </c>
    </row>
    <row r="43" spans="1:2" x14ac:dyDescent="0.2">
      <c r="A43" s="4" t="s">
        <v>22</v>
      </c>
      <c r="B43" s="9">
        <v>0.22388059701492538</v>
      </c>
    </row>
    <row r="44" spans="1:2" x14ac:dyDescent="0.2">
      <c r="A44" s="4" t="s">
        <v>19</v>
      </c>
      <c r="B44" s="9">
        <v>0.1691542288557214</v>
      </c>
    </row>
    <row r="45" spans="1:2" x14ac:dyDescent="0.2">
      <c r="A45" s="4" t="s">
        <v>14</v>
      </c>
      <c r="B45" s="9">
        <v>0.22388059701492538</v>
      </c>
    </row>
    <row r="46" spans="1:2" x14ac:dyDescent="0.2">
      <c r="A46" s="4" t="s">
        <v>11</v>
      </c>
      <c r="B46" s="9">
        <v>0.17910447761194029</v>
      </c>
    </row>
    <row r="47" spans="1:2" x14ac:dyDescent="0.2">
      <c r="A47" s="4" t="s">
        <v>37</v>
      </c>
      <c r="B47" s="9">
        <v>1</v>
      </c>
    </row>
    <row r="50" spans="1:5" x14ac:dyDescent="0.2">
      <c r="A50" s="3" t="s">
        <v>36</v>
      </c>
      <c r="D50" t="s">
        <v>39</v>
      </c>
      <c r="E50" t="str">
        <f>A51</f>
        <v>A</v>
      </c>
    </row>
    <row r="51" spans="1:5" x14ac:dyDescent="0.2">
      <c r="A51" s="4" t="s">
        <v>9</v>
      </c>
    </row>
    <row r="52" spans="1:5" x14ac:dyDescent="0.2">
      <c r="A52" s="4" t="s">
        <v>18</v>
      </c>
    </row>
    <row r="55" spans="1:5" x14ac:dyDescent="0.2">
      <c r="A55" s="3" t="s">
        <v>36</v>
      </c>
      <c r="D55" t="s">
        <v>40</v>
      </c>
      <c r="E55" t="str">
        <f>A56</f>
        <v>Bom</v>
      </c>
    </row>
    <row r="56" spans="1:5" x14ac:dyDescent="0.2">
      <c r="A56" s="4" t="s">
        <v>12</v>
      </c>
    </row>
    <row r="57" spans="1:5" x14ac:dyDescent="0.2">
      <c r="A57" s="4" t="s">
        <v>15</v>
      </c>
    </row>
    <row r="58" spans="1:5" x14ac:dyDescent="0.2">
      <c r="A58" s="4" t="s">
        <v>20</v>
      </c>
    </row>
  </sheetData>
  <pageMargins left="0.511811024" right="0.511811024" top="0.78740157499999996" bottom="0.78740157499999996" header="0.31496062000000002" footer="0.31496062000000002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FD6D-6307-44FD-89D4-BB3A66CCFE9A}">
  <dimension ref="A1:F67"/>
  <sheetViews>
    <sheetView tabSelected="1" workbookViewId="0">
      <selection activeCell="R20" sqref="R20"/>
    </sheetView>
  </sheetViews>
  <sheetFormatPr defaultColWidth="0" defaultRowHeight="12.75" zeroHeight="1" x14ac:dyDescent="0.2"/>
  <cols>
    <col min="1" max="18" width="9.140625" style="6" customWidth="1"/>
    <col min="19" max="16384" width="9.140625" style="6" hidden="1"/>
  </cols>
  <sheetData>
    <row r="1" spans="1:6" x14ac:dyDescent="0.2">
      <c r="A1" s="7" t="s">
        <v>41</v>
      </c>
      <c r="B1" s="8"/>
      <c r="C1" s="8"/>
      <c r="D1" s="8"/>
      <c r="E1" s="8"/>
      <c r="F1" s="8"/>
    </row>
    <row r="2" spans="1:6" x14ac:dyDescent="0.2">
      <c r="A2" s="8"/>
      <c r="B2" s="8"/>
      <c r="C2" s="8"/>
      <c r="D2" s="8"/>
      <c r="E2" s="8"/>
      <c r="F2" s="8"/>
    </row>
    <row r="3" spans="1:6" x14ac:dyDescent="0.2">
      <c r="A3" s="8"/>
      <c r="B3" s="8"/>
      <c r="C3" s="8"/>
      <c r="D3" s="8"/>
      <c r="E3" s="8"/>
      <c r="F3" s="8"/>
    </row>
    <row r="4" spans="1:6" x14ac:dyDescent="0.2">
      <c r="A4" s="8"/>
      <c r="B4" s="8"/>
      <c r="C4" s="8"/>
      <c r="D4" s="8"/>
      <c r="E4" s="8"/>
      <c r="F4" s="8"/>
    </row>
    <row r="5" spans="1:6" x14ac:dyDescent="0.2"/>
    <row r="6" spans="1:6" x14ac:dyDescent="0.2"/>
    <row r="7" spans="1:6" x14ac:dyDescent="0.2"/>
    <row r="8" spans="1:6" x14ac:dyDescent="0.2"/>
    <row r="9" spans="1:6" x14ac:dyDescent="0.2"/>
    <row r="10" spans="1:6" x14ac:dyDescent="0.2"/>
    <row r="11" spans="1:6" x14ac:dyDescent="0.2"/>
    <row r="12" spans="1:6" x14ac:dyDescent="0.2"/>
    <row r="13" spans="1:6" x14ac:dyDescent="0.2"/>
    <row r="14" spans="1:6" x14ac:dyDescent="0.2"/>
    <row r="15" spans="1:6" x14ac:dyDescent="0.2"/>
    <row r="16" spans="1:6" x14ac:dyDescent="0.2"/>
    <row r="17" s="6" customFormat="1" x14ac:dyDescent="0.2"/>
    <row r="18" s="6" customFormat="1" x14ac:dyDescent="0.2"/>
    <row r="19" s="6" customFormat="1" x14ac:dyDescent="0.2"/>
    <row r="20" s="6" customFormat="1" x14ac:dyDescent="0.2"/>
    <row r="21" s="6" customFormat="1" x14ac:dyDescent="0.2"/>
    <row r="22" s="6" customFormat="1" x14ac:dyDescent="0.2"/>
    <row r="23" s="6" customFormat="1" x14ac:dyDescent="0.2"/>
    <row r="24" s="6" customFormat="1" x14ac:dyDescent="0.2"/>
    <row r="25" s="6" customFormat="1" x14ac:dyDescent="0.2"/>
    <row r="26" s="6" customFormat="1" x14ac:dyDescent="0.2"/>
    <row r="27" s="6" customFormat="1" x14ac:dyDescent="0.2"/>
    <row r="28" s="6" customFormat="1" x14ac:dyDescent="0.2"/>
    <row r="29" s="6" customFormat="1" x14ac:dyDescent="0.2"/>
    <row r="30" s="6" customFormat="1" x14ac:dyDescent="0.2"/>
    <row r="31" s="6" customFormat="1" x14ac:dyDescent="0.2"/>
    <row r="32" s="6" customFormat="1" x14ac:dyDescent="0.2"/>
    <row r="33" s="6" customFormat="1" x14ac:dyDescent="0.2"/>
    <row r="34" s="6" customFormat="1" x14ac:dyDescent="0.2"/>
    <row r="35" s="6" customFormat="1" x14ac:dyDescent="0.2"/>
    <row r="36" s="6" customFormat="1" x14ac:dyDescent="0.2"/>
    <row r="37" s="6" customFormat="1" x14ac:dyDescent="0.2"/>
    <row r="38" s="6" customFormat="1" hidden="1" x14ac:dyDescent="0.2"/>
    <row r="39" s="6" customFormat="1" hidden="1" x14ac:dyDescent="0.2"/>
    <row r="40" s="6" customFormat="1" hidden="1" x14ac:dyDescent="0.2"/>
    <row r="41" s="6" customFormat="1" hidden="1" x14ac:dyDescent="0.2"/>
    <row r="42" s="6" customFormat="1" hidden="1" x14ac:dyDescent="0.2"/>
    <row r="43" s="6" customFormat="1" hidden="1" x14ac:dyDescent="0.2"/>
    <row r="44" s="6" customFormat="1" hidden="1" x14ac:dyDescent="0.2"/>
    <row r="45" s="6" customFormat="1" hidden="1" x14ac:dyDescent="0.2"/>
    <row r="46" s="6" customFormat="1" hidden="1" x14ac:dyDescent="0.2"/>
    <row r="47" s="6" customFormat="1" hidden="1" x14ac:dyDescent="0.2"/>
    <row r="48" s="6" customFormat="1" hidden="1" x14ac:dyDescent="0.2"/>
    <row r="49" s="6" customFormat="1" hidden="1" x14ac:dyDescent="0.2"/>
    <row r="50" s="6" customFormat="1" hidden="1" x14ac:dyDescent="0.2"/>
    <row r="51" s="6" customFormat="1" hidden="1" x14ac:dyDescent="0.2"/>
    <row r="52" s="6" customFormat="1" hidden="1" x14ac:dyDescent="0.2"/>
    <row r="53" s="6" customFormat="1" hidden="1" x14ac:dyDescent="0.2"/>
    <row r="54" s="6" customFormat="1" hidden="1" x14ac:dyDescent="0.2"/>
    <row r="55" s="6" customFormat="1" hidden="1" x14ac:dyDescent="0.2"/>
    <row r="56" s="6" customFormat="1" hidden="1" x14ac:dyDescent="0.2"/>
    <row r="57" s="6" customFormat="1" hidden="1" x14ac:dyDescent="0.2"/>
    <row r="58" s="6" customFormat="1" hidden="1" x14ac:dyDescent="0.2"/>
    <row r="59" s="6" customFormat="1" hidden="1" x14ac:dyDescent="0.2"/>
    <row r="60" s="6" customFormat="1" hidden="1" x14ac:dyDescent="0.2"/>
    <row r="61" s="6" customFormat="1" hidden="1" x14ac:dyDescent="0.2"/>
    <row r="62" s="6" customFormat="1" hidden="1" x14ac:dyDescent="0.2"/>
    <row r="63" s="6" customFormat="1" hidden="1" x14ac:dyDescent="0.2"/>
    <row r="64" s="6" customFormat="1" hidden="1" x14ac:dyDescent="0.2"/>
    <row r="65" s="6" customFormat="1" hidden="1" x14ac:dyDescent="0.2"/>
    <row r="66" s="6" customFormat="1" hidden="1" x14ac:dyDescent="0.2"/>
    <row r="67" s="6" customFormat="1" hidden="1" x14ac:dyDescent="0.2"/>
  </sheetData>
  <mergeCells count="1">
    <mergeCell ref="A1:F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 de Dados</vt:lpstr>
      <vt:lpstr>Tabelas Dinâmicas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Karen Luiza Marques</cp:lastModifiedBy>
  <dcterms:modified xsi:type="dcterms:W3CDTF">2026-02-02T19:53:28Z</dcterms:modified>
</cp:coreProperties>
</file>